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3" sheetId="1" r:id="rId5"/>
    <sheet state="visible" name="Product Backlog 4" sheetId="2" r:id="rId6"/>
    <sheet state="visible" name="PRUEBA ESTIMACION" sheetId="3" r:id="rId7"/>
  </sheets>
  <definedNames>
    <definedName hidden="1" localSheetId="0" name="_xlnm._FilterDatabase">'Product Backlog 3'!$A$1:$I$51</definedName>
  </definedNames>
  <calcPr/>
</workbook>
</file>

<file path=xl/sharedStrings.xml><?xml version="1.0" encoding="utf-8"?>
<sst xmlns="http://schemas.openxmlformats.org/spreadsheetml/2006/main" count="605" uniqueCount="371">
  <si>
    <t>ID</t>
  </si>
  <si>
    <t>Descripción</t>
  </si>
  <si>
    <t>Prioridad</t>
  </si>
  <si>
    <t>Esfuerzo</t>
  </si>
  <si>
    <t>Verificación</t>
  </si>
  <si>
    <t>DEV</t>
  </si>
  <si>
    <t>QA</t>
  </si>
  <si>
    <t>RQ-81</t>
  </si>
  <si>
    <t>Esfuerzo Dias</t>
  </si>
  <si>
    <t>Inicio de jornada del conductor</t>
  </si>
  <si>
    <t>Alta</t>
  </si>
  <si>
    <t>COSTO_PERSONA</t>
  </si>
  <si>
    <t>COSTOS_CONTINGENCIA</t>
  </si>
  <si>
    <t>Registrar inicio correctamente.</t>
  </si>
  <si>
    <t>Sprint</t>
  </si>
  <si>
    <t>Uribe Dago</t>
  </si>
  <si>
    <t>Zurita Luis</t>
  </si>
  <si>
    <t>RQ-31</t>
  </si>
  <si>
    <t>Prueba</t>
  </si>
  <si>
    <t>Observación</t>
  </si>
  <si>
    <t>Programación inteligente de viajes</t>
  </si>
  <si>
    <t>Registrar origen, destino y horario correctamente.</t>
  </si>
  <si>
    <t>RQ-82</t>
  </si>
  <si>
    <t>Funcionalidad principal.</t>
  </si>
  <si>
    <t>Finalización de jornada del conductor</t>
  </si>
  <si>
    <t>RQ-32</t>
  </si>
  <si>
    <t>Registrar cierre correctamente.</t>
  </si>
  <si>
    <t>Coria Adolfo</t>
  </si>
  <si>
    <t>RQ-33</t>
  </si>
  <si>
    <t>RQ-83</t>
  </si>
  <si>
    <t>Consulta de rutas asignadas</t>
  </si>
  <si>
    <t>Mostrar rutas asignadas.</t>
  </si>
  <si>
    <t>Uchani Nicolas</t>
  </si>
  <si>
    <t>Revollo Elkin</t>
  </si>
  <si>
    <t>RQ-34</t>
  </si>
  <si>
    <t>RQ-84</t>
  </si>
  <si>
    <t>RQ-35</t>
  </si>
  <si>
    <t>Consulta de pasajeros abordados</t>
  </si>
  <si>
    <t>Reprogramación de un viaje planificado</t>
  </si>
  <si>
    <t>Media</t>
  </si>
  <si>
    <t>Mostrar lista actualizada.</t>
  </si>
  <si>
    <t>Villarroel Jesus</t>
  </si>
  <si>
    <t>RQ-36</t>
  </si>
  <si>
    <t>RQ-85</t>
  </si>
  <si>
    <t>Registro de incidencias del recorrido</t>
  </si>
  <si>
    <t>RQ-37</t>
  </si>
  <si>
    <t>Modificar un viaje existente.</t>
  </si>
  <si>
    <t>Registrar incidencia.</t>
  </si>
  <si>
    <t>Huarachi Nayeli</t>
  </si>
  <si>
    <t>Persistencia correcta.</t>
  </si>
  <si>
    <t>Mejia Javi</t>
  </si>
  <si>
    <t>RQ-38</t>
  </si>
  <si>
    <t>RQ-86</t>
  </si>
  <si>
    <t>Validación de pago mediante QR (Tickeador)</t>
  </si>
  <si>
    <t>Cancelación de un viaje programado</t>
  </si>
  <si>
    <t>Confirmar pago válido.</t>
  </si>
  <si>
    <t>Torrico Eddy</t>
  </si>
  <si>
    <t>Chucamani Pedro</t>
  </si>
  <si>
    <t>RQ-87</t>
  </si>
  <si>
    <t>RQ-39</t>
  </si>
  <si>
    <t>Consulta de historial de validaciones</t>
  </si>
  <si>
    <t>Mostrar validaciones realizadas.</t>
  </si>
  <si>
    <t>Ugarte Carlos</t>
  </si>
  <si>
    <t>Verificar eliminación del viaje.</t>
  </si>
  <si>
    <t>Sejas Luis</t>
  </si>
  <si>
    <t>RQ-40</t>
  </si>
  <si>
    <t>Consistencia de datos.</t>
  </si>
  <si>
    <t>RQ-88</t>
  </si>
  <si>
    <t>Registro manual de abordaje</t>
  </si>
  <si>
    <t>RQ-41</t>
  </si>
  <si>
    <t>Registrar pasajero.</t>
  </si>
  <si>
    <t>Consulta del historial de viajes</t>
  </si>
  <si>
    <t>Mallea Nataly</t>
  </si>
  <si>
    <t>Aponte Humberto</t>
  </si>
  <si>
    <t>RQ-89</t>
  </si>
  <si>
    <t>RQ-42</t>
  </si>
  <si>
    <t>Consulta de estadísticas generales</t>
  </si>
  <si>
    <t>Mostrar viajes realizados cronológicamente.</t>
  </si>
  <si>
    <t>Mostrar indicadores.</t>
  </si>
  <si>
    <t>Historial completo.</t>
  </si>
  <si>
    <t>Terceros Jhosua</t>
  </si>
  <si>
    <t>RQ-43</t>
  </si>
  <si>
    <t>RQ-90</t>
  </si>
  <si>
    <t>Consulta de ingresos diarios</t>
  </si>
  <si>
    <t>Mostrar ingresos correctamente.</t>
  </si>
  <si>
    <t>Visualización del detalle de un viaje</t>
  </si>
  <si>
    <t>Pinto Katerine</t>
  </si>
  <si>
    <t>RQ-44</t>
  </si>
  <si>
    <t>RQ-91</t>
  </si>
  <si>
    <t>Consulta de pasajeros transportados</t>
  </si>
  <si>
    <t>RQ-45</t>
  </si>
  <si>
    <t>Mostrar estadísticas.</t>
  </si>
  <si>
    <t>Mostrar recorrido, costo y fecha.</t>
  </si>
  <si>
    <t>RQ-92</t>
  </si>
  <si>
    <t>Consulta de rutas más utilizadas</t>
  </si>
  <si>
    <t>Información consistente.</t>
  </si>
  <si>
    <t>RQ-46</t>
  </si>
  <si>
    <t>Ranking correcto.</t>
  </si>
  <si>
    <t>Villca Jheymi</t>
  </si>
  <si>
    <t>RQ-93</t>
  </si>
  <si>
    <t>Consulta de próximas salidas</t>
  </si>
  <si>
    <t>Consulta de beneficios otorgados</t>
  </si>
  <si>
    <t>RQ-47</t>
  </si>
  <si>
    <t>Mostrar registros.</t>
  </si>
  <si>
    <t>Brañez Mario</t>
  </si>
  <si>
    <t>Chambi Wili</t>
  </si>
  <si>
    <t>RQ-94</t>
  </si>
  <si>
    <t>Exportación de reportes</t>
  </si>
  <si>
    <t>RQ-48</t>
  </si>
  <si>
    <t>Mostrar horarios disponibles.</t>
  </si>
  <si>
    <t>Generar archivo PDF/Excel.</t>
  </si>
  <si>
    <t>Mostrar los horarios de salida registrados para las rutas disponibles.</t>
  </si>
  <si>
    <t>RQ-49</t>
  </si>
  <si>
    <t>RQ-95</t>
  </si>
  <si>
    <t>Consulta de bitácora administrativa</t>
  </si>
  <si>
    <t>Visualización de paradas cercanas</t>
  </si>
  <si>
    <t>Mostrar auditoría.</t>
  </si>
  <si>
    <t>RQ-96</t>
  </si>
  <si>
    <t>RQ-50</t>
  </si>
  <si>
    <t>Mostrar paradas dentro del radio definido.</t>
  </si>
  <si>
    <t>GPS requerido.</t>
  </si>
  <si>
    <t>RQ-51</t>
  </si>
  <si>
    <t>Integración Usuario–Conductor</t>
  </si>
  <si>
    <t>RQ-52</t>
  </si>
  <si>
    <t>Flujo completo.</t>
  </si>
  <si>
    <t>Muestra los detalles de una parada seleccionada (desde el mapa o lista), incluyendo su nombre, código, dirección, líneas disponibles y tiempos estimados de llegada (ETA).</t>
  </si>
  <si>
    <t>RQ-53</t>
  </si>
  <si>
    <t>RQ-97</t>
  </si>
  <si>
    <t>Integración Usuario–Tickeador</t>
  </si>
  <si>
    <t>Validar interacción.</t>
  </si>
  <si>
    <t>RQ-54</t>
  </si>
  <si>
    <t>Seleccionar una parada y comprobar la carga correcta del nombre, código único, lista de líneas que pasan por el punto y el tiempo estimado de las próximas salidas/arribos.</t>
  </si>
  <si>
    <t>Mapeo estructurado desde el servicio GTFS (rutas y horarios) combinado con el motor de geolocalización. Requiere caché local para optimizar el consumo de datos.</t>
  </si>
  <si>
    <t>RQ-98</t>
  </si>
  <si>
    <t>Integración Administración–Presidente</t>
  </si>
  <si>
    <t>RQ-55</t>
  </si>
  <si>
    <t>Compartir información.</t>
  </si>
  <si>
    <t>Visualización del tiempo estimado de llegada</t>
  </si>
  <si>
    <t>RQ-56</t>
  </si>
  <si>
    <t>RQ-99</t>
  </si>
  <si>
    <t>Integración completa entre módulos</t>
  </si>
  <si>
    <t>RQ-57</t>
  </si>
  <si>
    <t>Flujo extremo a extremo.</t>
  </si>
  <si>
    <t>Mostrar ETA correctamente.</t>
  </si>
  <si>
    <t>Basado en GTFS.</t>
  </si>
  <si>
    <t>RQ-58</t>
  </si>
  <si>
    <t>RQ-100</t>
  </si>
  <si>
    <t>Optimización del rendimiento general</t>
  </si>
  <si>
    <t>Reducir tiempos de respuesta.</t>
  </si>
  <si>
    <t>Actualización dinámica del recorrido</t>
  </si>
  <si>
    <t>RQ-59</t>
  </si>
  <si>
    <t>RQ-101</t>
  </si>
  <si>
    <t>Optimización del consumo de red</t>
  </si>
  <si>
    <t>Reducir llamadas innecesarias.</t>
  </si>
  <si>
    <t>RQ-60</t>
  </si>
  <si>
    <t>Verificar cambios durante el viaje.</t>
  </si>
  <si>
    <t>Seguimiento continuo.</t>
  </si>
  <si>
    <t>RQ-102</t>
  </si>
  <si>
    <t>RQ-61</t>
  </si>
  <si>
    <t>Optimización del almacenamiento local</t>
  </si>
  <si>
    <t>Mejorar caché.</t>
  </si>
  <si>
    <t>Consulta de notificaciones recibidas</t>
  </si>
  <si>
    <t>RQ-62</t>
  </si>
  <si>
    <t>RQ-103</t>
  </si>
  <si>
    <t>Validación de seguridad integral</t>
  </si>
  <si>
    <t>RQ-63</t>
  </si>
  <si>
    <t>Revisar autenticación y permisos.</t>
  </si>
  <si>
    <t>Mostrar notificaciones almacenadas.</t>
  </si>
  <si>
    <t>RQ-64</t>
  </si>
  <si>
    <t>Persistencia.</t>
  </si>
  <si>
    <t>RQ-104</t>
  </si>
  <si>
    <t>RQ-65</t>
  </si>
  <si>
    <t>Pruebas funcionales integrales</t>
  </si>
  <si>
    <t>Marcar notificaciones como leídas</t>
  </si>
  <si>
    <t>Ejecutar pruebas completas.</t>
  </si>
  <si>
    <t>RQ-66</t>
  </si>
  <si>
    <t>RQ-67</t>
  </si>
  <si>
    <t>RQ-105</t>
  </si>
  <si>
    <t>RQ-68</t>
  </si>
  <si>
    <t>Pruebas de regresión</t>
  </si>
  <si>
    <t>Cambiar estado correctamente.</t>
  </si>
  <si>
    <t>Estado persistente.</t>
  </si>
  <si>
    <t>Verificar funcionalidades existentes.</t>
  </si>
  <si>
    <t>RQ-69</t>
  </si>
  <si>
    <t>Rodriguez Susana</t>
  </si>
  <si>
    <t>RQ-70</t>
  </si>
  <si>
    <t>RQ-106</t>
  </si>
  <si>
    <t>Eliminación de notificaciones de la bandeja de avisos de forma individual (gesto swipe/botón) o masiva (vaciar leídas).</t>
  </si>
  <si>
    <t>Corrección de incidencias críticas</t>
  </si>
  <si>
    <t>RQ-71</t>
  </si>
  <si>
    <t>Baja</t>
  </si>
  <si>
    <t>Resolver defectos.</t>
  </si>
  <si>
    <t>RQ-72</t>
  </si>
  <si>
    <t>Ejecutar eliminación individual y masiva, verificando la remoción en pantalla y actualización del contador.</t>
  </si>
  <si>
    <t>RQ-107</t>
  </si>
  <si>
    <t>RQ-73</t>
  </si>
  <si>
    <t>Corrección de incidencias menores</t>
  </si>
  <si>
    <t>Borrado lógico; sincronizado en la base de datos y refresco en UI.</t>
  </si>
  <si>
    <t>Ajustes finales.</t>
  </si>
  <si>
    <t>Cardozo Victoria</t>
  </si>
  <si>
    <t>RQ-74</t>
  </si>
  <si>
    <t>Recepción automática de alertas operativas</t>
  </si>
  <si>
    <t>RQ-108</t>
  </si>
  <si>
    <t>RQ-75</t>
  </si>
  <si>
    <t>Actualización de la documentación técnica</t>
  </si>
  <si>
    <t>Revisar documentación.</t>
  </si>
  <si>
    <t>RQ-76</t>
  </si>
  <si>
    <t>Recibir una notificación sobre una alerta operativa.</t>
  </si>
  <si>
    <t>RQ-77</t>
  </si>
  <si>
    <t>RQ-109</t>
  </si>
  <si>
    <t>Preparación de versión candidata (Release Candidate)</t>
  </si>
  <si>
    <t>Informar al usuario cuando exista una alerta operativa relacionada con el servicio.</t>
  </si>
  <si>
    <t>Generar versión estable.</t>
  </si>
  <si>
    <t>RQ-78</t>
  </si>
  <si>
    <t>Configuración de preferencias de notificación</t>
  </si>
  <si>
    <t>RQ-79</t>
  </si>
  <si>
    <t>RQ-110</t>
  </si>
  <si>
    <t>Validación final y cierre del proyecto</t>
  </si>
  <si>
    <t>RQ-80</t>
  </si>
  <si>
    <t>Guardar preferencias.</t>
  </si>
  <si>
    <t>TOTAL</t>
  </si>
  <si>
    <t>Configuración personalizada.</t>
  </si>
  <si>
    <t>Aprobación integral del sistema.</t>
  </si>
  <si>
    <t>Consulta del estado de beneficios</t>
  </si>
  <si>
    <t>RQ-111</t>
  </si>
  <si>
    <t>Quitar la auto-aprobacion de recargas (recharge_bloc.dart linea 34) — la recarga debe quedar 'pending' hasta que el tickeador la verifique</t>
  </si>
  <si>
    <t>Crear una recarga nueva y confirmar que queda en estado pendiente, no se acredita sola.</t>
  </si>
  <si>
    <t>Mostrar estado actualizado.</t>
  </si>
  <si>
    <t>RQ-112</t>
  </si>
  <si>
    <t>Sincronización Firebase.</t>
  </si>
  <si>
    <t>Evitar el doble cobro del mismo QR: revalidar payment_status dentro de la transaccion de Firestore antes de escribir (trip_payment_service.dart)</t>
  </si>
  <si>
    <t>Generar un cobro QR y 'pagarlo' dos veces seguidas con el mismo tripId: la segunda debe fallar.</t>
  </si>
  <si>
    <t>Renovación de solicitud de beneficio</t>
  </si>
  <si>
    <t>RQ-113</t>
  </si>
  <si>
    <t>Eliminar el doble conteo del saldo del chofer: quitar la suma de _sumDriverEarnings sobre current_balance en getWalletByUserId (wallet_datasource.dart)</t>
  </si>
  <si>
    <t>TRABAJO NETO HORAS</t>
  </si>
  <si>
    <t>El saldo mostrado al chofer coincide con la suma real de sus trip_payment_received, sin duplicar.</t>
  </si>
  <si>
    <t>RQ-114</t>
  </si>
  <si>
    <t>Seguimiento de camara en tiempo real del chofer: animar la camara del mapa junto con el marcador en _startLiveTracking (driver_service_map.dart)</t>
  </si>
  <si>
    <t>Registrar nueva solicitud.</t>
  </si>
  <si>
    <t>Validación documental.</t>
  </si>
  <si>
    <t>TRABAJO DIAS</t>
  </si>
  <si>
    <t>La camara del mapa del chofer sigue la posicion real al moverse, no solo el marcador.</t>
  </si>
  <si>
    <t>RQ-115</t>
  </si>
  <si>
    <t>Normalizar la compresion de imagenes al subir (imageQuality 80 + maxWidth 1280) en los 6 call sites activos de ImagePicker</t>
  </si>
  <si>
    <t>Cancelación de solicitud de beneficio</t>
  </si>
  <si>
    <t>Las imagenes subidas (perfil, QR de recarga, documentos de unidad, beneficios) pesan menos sin perder legibilidad.</t>
  </si>
  <si>
    <t>RQ-116</t>
  </si>
  <si>
    <t>Borrar paginas y servicios huerfanos confirmados sin referencias de navegacion reales (7 paginas + cadena DriverAssignedRoutesDatasource/bloc + NearbyStopsBloc + RechargeService.getQRCodeUrl). OJO: revalidar cada archivo antes de borrar — el plan original incluia por error movimientos_page.dart, que SI esta en uso real (wallet_page.dart -&gt; boton MOVIMIENTOS)</t>
  </si>
  <si>
    <t>Eliminar solicitud pendiente.</t>
  </si>
  <si>
    <t>flutter analyze en 0 errores tras el borrado; el boton Movimientos de la billetera sigue funcionando.</t>
  </si>
  <si>
    <t>Control administrativo.</t>
  </si>
  <si>
    <t>RQ-117</t>
  </si>
  <si>
    <t>Pantalla de administrador para actualizar el QR de recarga (config/qr_recarga.qr_url), con subida de imagen via StorageService</t>
  </si>
  <si>
    <t>Consulta del historial de beneficios</t>
  </si>
  <si>
    <t>El admin sube un QR nuevo y se refleja de inmediato en RecargaQrPage.</t>
  </si>
  <si>
    <t>RQ-118</t>
  </si>
  <si>
    <t>Activar el seed de paradas desde GTFS (_seedStopsFromGtfs, hoy sin llamar) y reemplazar el campo de texto libre de 'aviso de parada' del chofer por deteccion de la parada mas cercana via GPS</t>
  </si>
  <si>
    <t>Mostrar solicitudes anteriores.</t>
  </si>
  <si>
    <t>El chofer ve la parada real mas cercana detectada por GPS en vez de escribir el nombre a mano.</t>
  </si>
  <si>
    <t>RQ-119</t>
  </si>
  <si>
    <t>Cards de ruta del panel de Presidente: agregar navegacion al mapa de la ruta y boton 'Marcar desvio' (nota simple, coleccion nueva route_deviation_notes)</t>
  </si>
  <si>
    <t>Descarga de comprobantes digitales</t>
  </si>
  <si>
    <t>Tocar una card de ruta abre el mapa; se puede guardar y ver una nota de calle bloqueada.</t>
  </si>
  <si>
    <t>RQ-120</t>
  </si>
  <si>
    <t>Reconciliar la linea que cobra cada viaje: generateTripCharge debe usar route?.ref (ruta asignada real) en vez de vehicle.lineNumber (driver_service.dart)</t>
  </si>
  <si>
    <t>Un chofer con assigned_route_ref distinto a su vehicle.lineNumber genera cobros con la linea correcta.</t>
  </si>
  <si>
    <t>Descargar comprobante PDF.</t>
  </si>
  <si>
    <t>RQ-121</t>
  </si>
  <si>
    <t>Evidencia digital.</t>
  </si>
  <si>
    <t>Panel de tarifas por linea del Presidente: coleccion tariffs/{route_ref} con brackets por distancia, pantalla simple de administracion</t>
  </si>
  <si>
    <t>El presidente configura tramos de tarifa por km para su linea y quedan guardados en Firestore.</t>
  </si>
  <si>
    <t>Configuración de preferencias de usuario</t>
  </si>
  <si>
    <t>RQ-122</t>
  </si>
  <si>
    <t>Aviso de bajada del pasajero + cobro por distancia real (TariffService), reemplazando la tarifa fija de 2.5 Bs hardcodeada en el historial y en las estimaciones de planificacion/PDF</t>
  </si>
  <si>
    <t>El pasajero avisa que baja, se calcula la tarifa segun distancia real y el PDF de un viaje planificado ya no muestra 2.5 fijo.</t>
  </si>
  <si>
    <t>Guardar preferencias generales.</t>
  </si>
  <si>
    <t>RQ-123</t>
  </si>
  <si>
    <t>Personalización.</t>
  </si>
  <si>
    <t>El boton 'Perfil' del pie de navegacion compartido (navigateBottomNav, case 3) siempre abre la vista generica de Usuario, sin importar el rol actual (chofer/admin/presidente/tickeador) — a diferencia de Inicio/Billetera/Rutas, no existe un 'perfilBuilder' para pasar la vista correcta por rol</t>
  </si>
  <si>
    <t>Desde cada rol, la pestaña Perfil muestra el contexto correcto en vez de caer siempre a la vista de pasajero.</t>
  </si>
  <si>
    <t>Visualización de Términos, Condiciones y Políticas de Privacidad</t>
  </si>
  <si>
    <t>RQ-124</t>
  </si>
  <si>
    <t>Validar el monto maximo al recargar saldo por QR: hoy solo se valida amount &gt; 0, sin tope superior — permite ingresar montos absurdos (reportado en QA: saldo mostrando 1e+39)</t>
  </si>
  <si>
    <t>Ingresar un monto irreal (ej. 999999999999) en Recargar Saldo muestra un error de validacion, no se envia.</t>
  </si>
  <si>
    <t>Informacion necesaria para el usuario.</t>
  </si>
  <si>
    <t>Configuración de tema claro/oscuro</t>
  </si>
  <si>
    <t>Persistencia del tema.</t>
  </si>
  <si>
    <t>UX.</t>
  </si>
  <si>
    <t>Sincronización automática de datos</t>
  </si>
  <si>
    <t>Refrescar información.</t>
  </si>
  <si>
    <t>Sincronización.</t>
  </si>
  <si>
    <t>Actualización automática del perfil</t>
  </si>
  <si>
    <t>Reflejar cambios remotos.</t>
  </si>
  <si>
    <t>Consistencia.</t>
  </si>
  <si>
    <t>Manejo de pérdida de conexión</t>
  </si>
  <si>
    <t>Validar funcionamiento offline parcial.</t>
  </si>
  <si>
    <t>Robustez.</t>
  </si>
  <si>
    <t>Recuperación automática al restablecer conexión</t>
  </si>
  <si>
    <t>Reanudar sincronización.</t>
  </si>
  <si>
    <t>Recuperación automática.</t>
  </si>
  <si>
    <t>Validación integral del módulo Usuario</t>
  </si>
  <si>
    <t>Ejecutar pruebas funcionales.</t>
  </si>
  <si>
    <t>Cierre del módulo.</t>
  </si>
  <si>
    <t>Corrección de incidencias del Sprint 2</t>
  </si>
  <si>
    <t>Resolver errores reportados.</t>
  </si>
  <si>
    <t>Corregir los errores registrados durante el Sprint 2.</t>
  </si>
  <si>
    <t>Integración de módulos 4, 7 y 8</t>
  </si>
  <si>
    <t>Verificar integración completa.</t>
  </si>
  <si>
    <t>Entrega del tercer parcial.</t>
  </si>
  <si>
    <t>Inicio del servicio de transporte por parte del chofer</t>
  </si>
  <si>
    <t>Verificar que el chofer pueda iniciar correctamente el servicio de la unidad asignada.</t>
  </si>
  <si>
    <t>Cambio de estado de la unidad a servicio activo.</t>
  </si>
  <si>
    <t>ABIERTO</t>
  </si>
  <si>
    <t>Detención del servicio de transporte por parte del chofer</t>
  </si>
  <si>
    <t>Verificar que el chofer pueda finalizar el servicio y cambiar correctamente el estado de la unidad.</t>
  </si>
  <si>
    <t>Cambio de estado de la unidad a servicio detenido.</t>
  </si>
  <si>
    <t>Visualización de rutas asignadas al chofer</t>
  </si>
  <si>
    <t>Mostrar correctamente la ruta y recorrido asignado al chofer.</t>
  </si>
  <si>
    <t>Información obtenida de la ruta asignada.</t>
  </si>
  <si>
    <t>Gestión de unidades de transporte</t>
  </si>
  <si>
    <t>Verificar consulta y actualización de la información de la unidad asignada.</t>
  </si>
  <si>
    <t>Mantener consistencia de los datos de la unidad.</t>
  </si>
  <si>
    <t>Cobro de viaje mediante el módulo del chofer</t>
  </si>
  <si>
    <t>Registrar correctamente el cobro y actualizar la información correspondiente del viaje.</t>
  </si>
  <si>
    <t>El cobro debe quedar asociado al viaje realizado.</t>
  </si>
  <si>
    <t>Notificación de llegada o parada durante el servicio</t>
  </si>
  <si>
    <t>Verificar que el chofer pueda recibir o generar correctamente la notificación asociada a una parada.</t>
  </si>
  <si>
    <t>Comunicación de eventos durante el recorrido.</t>
  </si>
  <si>
    <t>Consulta del historial de viajes realizados por el chofer</t>
  </si>
  <si>
    <t>Mostrar los viajes realizados por el chofer de forma cronológica.</t>
  </si>
  <si>
    <t>Historial completo y persistente.</t>
  </si>
  <si>
    <t>Consulta del rendimiento del chofer</t>
  </si>
  <si>
    <t>Mostrar correctamente los indicadores de rendimiento registrados para el chofer.</t>
  </si>
  <si>
    <t>Información basada en los viajes registrados.</t>
  </si>
  <si>
    <t>Consulta del historial de ingresos del chofer</t>
  </si>
  <si>
    <t>Verificar que los ingresos registrados sean mostrados correctamente y correspondan a los viajes realizados.</t>
  </si>
  <si>
    <t>Los ingresos deben coincidir con las operaciones registradas.</t>
  </si>
  <si>
    <t>Descarga de información del historial del chofer</t>
  </si>
  <si>
    <t>Generar y descargar correctamente el archivo con la información solicitada.</t>
  </si>
  <si>
    <t>Evidencia digital de la información consultada.</t>
  </si>
  <si>
    <t>Gestión de usuarios por parte del administrador</t>
  </si>
  <si>
    <t>Verificar que el administrador pueda consultar y gestionar usuarios registrados.</t>
  </si>
  <si>
    <t>Control centralizado de usuarios.</t>
  </si>
  <si>
    <t>Aprobación o bloqueo de usuarios</t>
  </si>
  <si>
    <t>Verificar el cambio de estado de un usuario y su persistencia.</t>
  </si>
  <si>
    <t>El estado debe mantenerse actualizado.</t>
  </si>
  <si>
    <t>Gestión de administradores del sistema</t>
  </si>
  <si>
    <t>Registrar y eliminar administradores verificando correctamente sus permisos.</t>
  </si>
  <si>
    <t>Control de administradores del sistema.</t>
  </si>
  <si>
    <t>Configuración de privilegios de administrador</t>
  </si>
  <si>
    <t>Verificar que los privilegios asignados determinen correctamente las operaciones disponibles.</t>
  </si>
  <si>
    <t>Control de acceso según privilegios.</t>
  </si>
  <si>
    <t>Consulta de unidades activas</t>
  </si>
  <si>
    <t>Mostrar las unidades actualmente activas y su estado correctamente.</t>
  </si>
  <si>
    <t>Información actualizada de las unidades.</t>
  </si>
  <si>
    <t>Control de rutas desde el perfil administrativo/presidente</t>
  </si>
  <si>
    <t>Verificar la visualización y seguimiento de las rutas activas.</t>
  </si>
  <si>
    <t>Supervisión operativa de las rutas.</t>
  </si>
  <si>
    <t>Consulta de reportes operativos</t>
  </si>
  <si>
    <t>Mostrar correctamente la información consolidada en los reportes.</t>
  </si>
  <si>
    <t>Información útil para el seguimiento del servicio.</t>
  </si>
  <si>
    <t>Operación del modo Tickeador para validación de viajes</t>
  </si>
  <si>
    <t>Verificar que el usuario Tickeador pueda acceder al modo correspondiente y realizar la operación asignada.</t>
  </si>
  <si>
    <t>Validación de operaciones de transporte.</t>
  </si>
  <si>
    <t>Consulta del historial de operaciones del Tickeador</t>
  </si>
  <si>
    <t>Mostrar las operaciones realizadas por el Tickeador de forma cronológica.</t>
  </si>
  <si>
    <t>Historial de operaciones persistente.</t>
  </si>
  <si>
    <t>Consulta consolidada de información desde el perfil Presidente</t>
  </si>
  <si>
    <t>Verificar que el Presidente pueda consultar control de rutas, unidades y reportes disponibles.</t>
  </si>
  <si>
    <t>Vista consolidada para supervisión general.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</si>
</sst>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1.38"/>
    <col customWidth="1" min="3" max="3" width="8.38"/>
    <col customWidth="1" min="4" max="4" width="14.5"/>
    <col customWidth="1" min="5" max="5" width="6.75"/>
    <col customWidth="1" min="6" max="6" width="5.63"/>
    <col customWidth="1" min="7" max="7" width="3.5"/>
    <col customWidth="1" min="8" max="8" width="61.88"/>
    <col customWidth="1" min="9" max="9" width="22.63"/>
    <col customWidth="1" min="10" max="10" width="21.5"/>
    <col customWidth="1" min="11" max="11" width="55.13"/>
  </cols>
  <sheetData>
    <row r="1">
      <c r="A1" s="2" t="s">
        <v>0</v>
      </c>
      <c r="B1" s="2" t="s">
        <v>1</v>
      </c>
      <c r="C1" s="2" t="s">
        <v>2</v>
      </c>
      <c r="D1" s="2" t="s">
        <v>8</v>
      </c>
      <c r="E1" s="2" t="s">
        <v>14</v>
      </c>
      <c r="F1" s="2"/>
      <c r="G1" s="2"/>
      <c r="H1" s="2" t="s">
        <v>18</v>
      </c>
      <c r="I1" s="2" t="s">
        <v>19</v>
      </c>
    </row>
    <row r="2">
      <c r="A2" s="6" t="s">
        <v>17</v>
      </c>
      <c r="B2" s="6" t="s">
        <v>20</v>
      </c>
      <c r="C2" s="6" t="s">
        <v>10</v>
      </c>
      <c r="D2" s="7">
        <v>3.0</v>
      </c>
      <c r="E2" s="6">
        <v>3.0</v>
      </c>
      <c r="F2" s="6"/>
      <c r="G2" s="6"/>
      <c r="H2" s="6" t="s">
        <v>21</v>
      </c>
      <c r="I2" s="6" t="s">
        <v>23</v>
      </c>
      <c r="K2" s="4" t="str">
        <f t="shared" ref="K2:K51" si="1">A2&amp;" "&amp;B2</f>
        <v>RQ-31 Programación inteligente de viajes</v>
      </c>
    </row>
    <row r="3">
      <c r="A3" s="6" t="s">
        <v>25</v>
      </c>
      <c r="B3" s="6" t="s">
        <v>38</v>
      </c>
      <c r="C3" s="6" t="s">
        <v>39</v>
      </c>
      <c r="D3" s="7">
        <v>2.0</v>
      </c>
      <c r="E3" s="6">
        <v>3.0</v>
      </c>
      <c r="F3" s="6"/>
      <c r="G3" s="6"/>
      <c r="H3" s="6" t="s">
        <v>46</v>
      </c>
      <c r="I3" s="6" t="s">
        <v>49</v>
      </c>
      <c r="K3" s="4" t="str">
        <f t="shared" si="1"/>
        <v>RQ-32 Reprogramación de un viaje planificado</v>
      </c>
    </row>
    <row r="4">
      <c r="A4" s="6" t="s">
        <v>28</v>
      </c>
      <c r="B4" s="6" t="s">
        <v>54</v>
      </c>
      <c r="C4" s="6" t="s">
        <v>39</v>
      </c>
      <c r="D4" s="7">
        <v>1.0</v>
      </c>
      <c r="E4" s="6">
        <v>3.0</v>
      </c>
      <c r="F4" s="6"/>
      <c r="G4" s="6"/>
      <c r="H4" s="6" t="s">
        <v>63</v>
      </c>
      <c r="I4" s="6" t="s">
        <v>66</v>
      </c>
      <c r="K4" s="4" t="str">
        <f t="shared" si="1"/>
        <v>RQ-33 Cancelación de un viaje programado</v>
      </c>
    </row>
    <row r="5">
      <c r="A5" s="6" t="s">
        <v>34</v>
      </c>
      <c r="B5" s="6" t="s">
        <v>71</v>
      </c>
      <c r="C5" s="6" t="s">
        <v>10</v>
      </c>
      <c r="D5" s="7">
        <v>2.0</v>
      </c>
      <c r="E5" s="6">
        <v>3.0</v>
      </c>
      <c r="F5" s="6"/>
      <c r="G5" s="6"/>
      <c r="H5" s="6" t="s">
        <v>77</v>
      </c>
      <c r="I5" s="6" t="s">
        <v>79</v>
      </c>
      <c r="K5" s="4" t="str">
        <f t="shared" si="1"/>
        <v>RQ-34 Consulta del historial de viajes</v>
      </c>
    </row>
    <row r="6">
      <c r="A6" s="6" t="s">
        <v>36</v>
      </c>
      <c r="B6" s="6" t="s">
        <v>85</v>
      </c>
      <c r="C6" s="6" t="s">
        <v>39</v>
      </c>
      <c r="D6" s="7">
        <v>2.0</v>
      </c>
      <c r="E6" s="6">
        <v>3.0</v>
      </c>
      <c r="F6" s="6"/>
      <c r="G6" s="6"/>
      <c r="H6" s="6" t="s">
        <v>92</v>
      </c>
      <c r="I6" s="6" t="s">
        <v>95</v>
      </c>
      <c r="K6" s="4" t="str">
        <f t="shared" si="1"/>
        <v>RQ-35 Visualización del detalle de un viaje</v>
      </c>
    </row>
    <row r="7">
      <c r="A7" s="6" t="s">
        <v>42</v>
      </c>
      <c r="B7" s="6" t="s">
        <v>100</v>
      </c>
      <c r="C7" s="6" t="s">
        <v>10</v>
      </c>
      <c r="D7" s="7">
        <v>2.0</v>
      </c>
      <c r="E7" s="6">
        <v>3.0</v>
      </c>
      <c r="F7" s="6"/>
      <c r="G7" s="6"/>
      <c r="H7" s="6" t="s">
        <v>109</v>
      </c>
      <c r="I7" s="6" t="s">
        <v>111</v>
      </c>
      <c r="K7" s="4" t="str">
        <f t="shared" si="1"/>
        <v>RQ-36 Consulta de próximas salidas</v>
      </c>
    </row>
    <row r="8">
      <c r="A8" s="6" t="s">
        <v>45</v>
      </c>
      <c r="B8" s="6" t="s">
        <v>115</v>
      </c>
      <c r="C8" s="6" t="s">
        <v>10</v>
      </c>
      <c r="D8" s="7">
        <v>2.0</v>
      </c>
      <c r="E8" s="6">
        <v>3.0</v>
      </c>
      <c r="F8" s="6"/>
      <c r="G8" s="6"/>
      <c r="H8" s="6" t="s">
        <v>119</v>
      </c>
      <c r="I8" s="6" t="s">
        <v>120</v>
      </c>
      <c r="K8" s="4" t="str">
        <f t="shared" si="1"/>
        <v>RQ-37 Visualización de paradas cercanas</v>
      </c>
    </row>
    <row r="9">
      <c r="A9" s="6" t="s">
        <v>51</v>
      </c>
      <c r="B9" s="6" t="s">
        <v>125</v>
      </c>
      <c r="C9" s="6" t="s">
        <v>39</v>
      </c>
      <c r="D9" s="7">
        <v>1.0</v>
      </c>
      <c r="E9" s="6">
        <v>3.0</v>
      </c>
      <c r="F9" s="6"/>
      <c r="G9" s="6"/>
      <c r="H9" s="6" t="s">
        <v>131</v>
      </c>
      <c r="I9" s="6" t="s">
        <v>132</v>
      </c>
      <c r="K9" s="4" t="str">
        <f t="shared" si="1"/>
        <v>RQ-38 Muestra los detalles de una parada seleccionada (desde el mapa o lista), incluyendo su nombre, código, dirección, líneas disponibles y tiempos estimados de llegada (ETA).</v>
      </c>
    </row>
    <row r="10">
      <c r="A10" s="6" t="s">
        <v>59</v>
      </c>
      <c r="B10" s="6" t="s">
        <v>137</v>
      </c>
      <c r="C10" s="6" t="s">
        <v>10</v>
      </c>
      <c r="D10" s="7">
        <v>2.0</v>
      </c>
      <c r="E10" s="6">
        <v>3.0</v>
      </c>
      <c r="F10" s="6"/>
      <c r="G10" s="6"/>
      <c r="H10" s="6" t="s">
        <v>143</v>
      </c>
      <c r="I10" s="6" t="s">
        <v>144</v>
      </c>
      <c r="K10" s="4" t="str">
        <f t="shared" si="1"/>
        <v>RQ-39 Visualización del tiempo estimado de llegada</v>
      </c>
    </row>
    <row r="11">
      <c r="A11" s="6" t="s">
        <v>65</v>
      </c>
      <c r="B11" s="6" t="s">
        <v>149</v>
      </c>
      <c r="C11" s="6" t="s">
        <v>10</v>
      </c>
      <c r="D11" s="7">
        <v>2.0</v>
      </c>
      <c r="E11" s="6">
        <v>3.0</v>
      </c>
      <c r="F11" s="6"/>
      <c r="G11" s="6"/>
      <c r="H11" s="6" t="s">
        <v>155</v>
      </c>
      <c r="I11" s="6" t="s">
        <v>156</v>
      </c>
      <c r="K11" s="4" t="str">
        <f t="shared" si="1"/>
        <v>RQ-40 Actualización dinámica del recorrido</v>
      </c>
    </row>
    <row r="12">
      <c r="A12" s="6" t="s">
        <v>69</v>
      </c>
      <c r="B12" s="6" t="s">
        <v>161</v>
      </c>
      <c r="C12" s="6" t="s">
        <v>10</v>
      </c>
      <c r="D12" s="7">
        <v>1.0</v>
      </c>
      <c r="E12" s="6">
        <v>3.0</v>
      </c>
      <c r="F12" s="6"/>
      <c r="G12" s="6"/>
      <c r="H12" s="6" t="s">
        <v>167</v>
      </c>
      <c r="I12" s="6" t="s">
        <v>169</v>
      </c>
      <c r="K12" s="4" t="str">
        <f t="shared" si="1"/>
        <v>RQ-41 Consulta de notificaciones recibidas</v>
      </c>
    </row>
    <row r="13">
      <c r="A13" s="6" t="s">
        <v>75</v>
      </c>
      <c r="B13" s="6" t="s">
        <v>173</v>
      </c>
      <c r="C13" s="6" t="s">
        <v>39</v>
      </c>
      <c r="D13" s="7">
        <v>1.0</v>
      </c>
      <c r="E13" s="6">
        <v>3.0</v>
      </c>
      <c r="F13" s="6"/>
      <c r="G13" s="6"/>
      <c r="H13" s="6" t="s">
        <v>180</v>
      </c>
      <c r="I13" s="6" t="s">
        <v>181</v>
      </c>
      <c r="K13" s="4" t="str">
        <f t="shared" si="1"/>
        <v>RQ-42 Marcar notificaciones como leídas</v>
      </c>
    </row>
    <row r="14">
      <c r="A14" s="6" t="s">
        <v>81</v>
      </c>
      <c r="B14" s="6" t="s">
        <v>187</v>
      </c>
      <c r="C14" s="6" t="s">
        <v>190</v>
      </c>
      <c r="D14" s="7">
        <v>1.0</v>
      </c>
      <c r="E14" s="6">
        <v>3.0</v>
      </c>
      <c r="F14" s="6"/>
      <c r="G14" s="6"/>
      <c r="H14" s="6" t="s">
        <v>193</v>
      </c>
      <c r="I14" s="6" t="s">
        <v>197</v>
      </c>
      <c r="K14" s="4" t="str">
        <f t="shared" si="1"/>
        <v>RQ-43 Eliminación de notificaciones de la bandeja de avisos de forma individual (gesto swipe/botón) o masiva (vaciar leídas).</v>
      </c>
    </row>
    <row r="15">
      <c r="A15" s="6" t="s">
        <v>87</v>
      </c>
      <c r="B15" s="6" t="s">
        <v>201</v>
      </c>
      <c r="C15" s="6" t="s">
        <v>10</v>
      </c>
      <c r="D15" s="7">
        <v>2.0</v>
      </c>
      <c r="E15" s="6">
        <v>3.0</v>
      </c>
      <c r="F15" s="6"/>
      <c r="G15" s="6"/>
      <c r="H15" s="6" t="s">
        <v>207</v>
      </c>
      <c r="I15" s="6" t="s">
        <v>211</v>
      </c>
      <c r="K15" s="4" t="str">
        <f t="shared" si="1"/>
        <v>RQ-44 Recepción automática de alertas operativas</v>
      </c>
    </row>
    <row r="16">
      <c r="A16" s="6" t="s">
        <v>90</v>
      </c>
      <c r="B16" s="6" t="s">
        <v>214</v>
      </c>
      <c r="C16" s="6" t="s">
        <v>39</v>
      </c>
      <c r="D16" s="7">
        <v>2.0</v>
      </c>
      <c r="E16" s="6">
        <v>3.0</v>
      </c>
      <c r="F16" s="6"/>
      <c r="G16" s="6"/>
      <c r="H16" s="6" t="s">
        <v>219</v>
      </c>
      <c r="I16" s="6" t="s">
        <v>221</v>
      </c>
      <c r="K16" s="4" t="str">
        <f t="shared" si="1"/>
        <v>RQ-45 Configuración de preferencias de notificación</v>
      </c>
    </row>
    <row r="17">
      <c r="A17" s="6" t="s">
        <v>96</v>
      </c>
      <c r="B17" s="6" t="s">
        <v>223</v>
      </c>
      <c r="C17" s="6" t="s">
        <v>10</v>
      </c>
      <c r="D17" s="7">
        <v>2.0</v>
      </c>
      <c r="E17" s="6">
        <v>3.0</v>
      </c>
      <c r="F17" s="6"/>
      <c r="G17" s="6"/>
      <c r="H17" s="6" t="s">
        <v>227</v>
      </c>
      <c r="I17" s="6" t="s">
        <v>229</v>
      </c>
      <c r="K17" s="4" t="str">
        <f t="shared" si="1"/>
        <v>RQ-46 Consulta del estado de beneficios</v>
      </c>
    </row>
    <row r="18">
      <c r="A18" s="6" t="s">
        <v>102</v>
      </c>
      <c r="B18" s="6" t="s">
        <v>232</v>
      </c>
      <c r="C18" s="6" t="s">
        <v>39</v>
      </c>
      <c r="D18" s="7">
        <v>2.0</v>
      </c>
      <c r="E18" s="6">
        <v>3.0</v>
      </c>
      <c r="F18" s="6"/>
      <c r="G18" s="6"/>
      <c r="H18" s="6" t="s">
        <v>239</v>
      </c>
      <c r="I18" s="6" t="s">
        <v>240</v>
      </c>
      <c r="K18" s="4" t="str">
        <f t="shared" si="1"/>
        <v>RQ-47 Renovación de solicitud de beneficio</v>
      </c>
    </row>
    <row r="19">
      <c r="A19" s="6" t="s">
        <v>108</v>
      </c>
      <c r="B19" s="6" t="s">
        <v>245</v>
      </c>
      <c r="C19" s="6" t="s">
        <v>190</v>
      </c>
      <c r="D19" s="7">
        <v>1.0</v>
      </c>
      <c r="E19" s="6">
        <v>3.0</v>
      </c>
      <c r="F19" s="6"/>
      <c r="G19" s="6"/>
      <c r="H19" s="6" t="s">
        <v>249</v>
      </c>
      <c r="I19" s="6" t="s">
        <v>251</v>
      </c>
      <c r="K19" s="4" t="str">
        <f t="shared" si="1"/>
        <v>RQ-48 Cancelación de solicitud de beneficio</v>
      </c>
    </row>
    <row r="20">
      <c r="A20" s="6" t="s">
        <v>112</v>
      </c>
      <c r="B20" s="6" t="s">
        <v>254</v>
      </c>
      <c r="C20" s="6" t="s">
        <v>39</v>
      </c>
      <c r="D20" s="7">
        <v>2.0</v>
      </c>
      <c r="E20" s="6">
        <v>3.0</v>
      </c>
      <c r="F20" s="6"/>
      <c r="G20" s="6"/>
      <c r="H20" s="6" t="s">
        <v>258</v>
      </c>
      <c r="I20" s="6" t="s">
        <v>79</v>
      </c>
      <c r="K20" s="4" t="str">
        <f t="shared" si="1"/>
        <v>RQ-49 Consulta del historial de beneficios</v>
      </c>
    </row>
    <row r="21">
      <c r="A21" s="6" t="s">
        <v>118</v>
      </c>
      <c r="B21" s="6" t="s">
        <v>262</v>
      </c>
      <c r="C21" s="6" t="s">
        <v>39</v>
      </c>
      <c r="D21" s="7">
        <v>2.0</v>
      </c>
      <c r="E21" s="6">
        <v>3.0</v>
      </c>
      <c r="F21" s="6"/>
      <c r="G21" s="6"/>
      <c r="H21" s="6" t="s">
        <v>267</v>
      </c>
      <c r="I21" s="6" t="s">
        <v>269</v>
      </c>
      <c r="K21" s="4" t="str">
        <f t="shared" si="1"/>
        <v>RQ-50 Descarga de comprobantes digitales</v>
      </c>
    </row>
    <row r="22">
      <c r="A22" s="6" t="s">
        <v>121</v>
      </c>
      <c r="B22" s="6" t="s">
        <v>272</v>
      </c>
      <c r="C22" s="6" t="s">
        <v>190</v>
      </c>
      <c r="D22" s="7">
        <v>2.0</v>
      </c>
      <c r="E22" s="6">
        <v>3.0</v>
      </c>
      <c r="F22" s="6"/>
      <c r="G22" s="6"/>
      <c r="H22" s="6" t="s">
        <v>276</v>
      </c>
      <c r="I22" s="6" t="s">
        <v>278</v>
      </c>
      <c r="K22" s="4" t="str">
        <f t="shared" si="1"/>
        <v>RQ-51 Configuración de preferencias de usuario</v>
      </c>
    </row>
    <row r="23">
      <c r="A23" s="6" t="s">
        <v>123</v>
      </c>
      <c r="B23" s="6" t="s">
        <v>281</v>
      </c>
      <c r="C23" s="6" t="s">
        <v>190</v>
      </c>
      <c r="D23" s="7">
        <v>2.0</v>
      </c>
      <c r="E23" s="6">
        <v>3.0</v>
      </c>
      <c r="F23" s="6"/>
      <c r="G23" s="6"/>
      <c r="H23" s="6" t="s">
        <v>281</v>
      </c>
      <c r="I23" s="6" t="s">
        <v>285</v>
      </c>
      <c r="K23" s="4" t="str">
        <f t="shared" si="1"/>
        <v>RQ-52 Visualización de Términos, Condiciones y Políticas de Privacidad</v>
      </c>
    </row>
    <row r="24">
      <c r="A24" s="6" t="s">
        <v>126</v>
      </c>
      <c r="B24" s="6" t="s">
        <v>286</v>
      </c>
      <c r="C24" s="6" t="s">
        <v>190</v>
      </c>
      <c r="D24" s="7">
        <v>1.0</v>
      </c>
      <c r="E24" s="6">
        <v>3.0</v>
      </c>
      <c r="F24" s="6"/>
      <c r="G24" s="6"/>
      <c r="H24" s="6" t="s">
        <v>287</v>
      </c>
      <c r="I24" s="6" t="s">
        <v>288</v>
      </c>
      <c r="K24" s="4" t="str">
        <f t="shared" si="1"/>
        <v>RQ-53 Configuración de tema claro/oscuro</v>
      </c>
    </row>
    <row r="25">
      <c r="A25" s="6" t="s">
        <v>130</v>
      </c>
      <c r="B25" s="6" t="s">
        <v>289</v>
      </c>
      <c r="C25" s="6" t="s">
        <v>10</v>
      </c>
      <c r="D25" s="7">
        <v>2.0</v>
      </c>
      <c r="E25" s="6">
        <v>3.0</v>
      </c>
      <c r="F25" s="6"/>
      <c r="G25" s="6"/>
      <c r="H25" s="6" t="s">
        <v>290</v>
      </c>
      <c r="I25" s="6" t="s">
        <v>291</v>
      </c>
      <c r="K25" s="4" t="str">
        <f t="shared" si="1"/>
        <v>RQ-54 Sincronización automática de datos</v>
      </c>
    </row>
    <row r="26">
      <c r="A26" s="6" t="s">
        <v>135</v>
      </c>
      <c r="B26" s="6" t="s">
        <v>292</v>
      </c>
      <c r="C26" s="6" t="s">
        <v>39</v>
      </c>
      <c r="D26" s="7">
        <v>2.0</v>
      </c>
      <c r="E26" s="6">
        <v>3.0</v>
      </c>
      <c r="F26" s="6"/>
      <c r="G26" s="6"/>
      <c r="H26" s="6" t="s">
        <v>293</v>
      </c>
      <c r="I26" s="6" t="s">
        <v>294</v>
      </c>
      <c r="K26" s="4" t="str">
        <f t="shared" si="1"/>
        <v>RQ-55 Actualización automática del perfil</v>
      </c>
    </row>
    <row r="27">
      <c r="A27" s="6" t="s">
        <v>138</v>
      </c>
      <c r="B27" s="6" t="s">
        <v>295</v>
      </c>
      <c r="C27" s="6" t="s">
        <v>10</v>
      </c>
      <c r="D27" s="7">
        <v>2.0</v>
      </c>
      <c r="E27" s="6">
        <v>3.0</v>
      </c>
      <c r="F27" s="6"/>
      <c r="G27" s="6"/>
      <c r="H27" s="6" t="s">
        <v>296</v>
      </c>
      <c r="I27" s="6" t="s">
        <v>297</v>
      </c>
      <c r="K27" s="4" t="str">
        <f t="shared" si="1"/>
        <v>RQ-56 Manejo de pérdida de conexión</v>
      </c>
    </row>
    <row r="28">
      <c r="A28" s="6" t="s">
        <v>141</v>
      </c>
      <c r="B28" s="6" t="s">
        <v>298</v>
      </c>
      <c r="C28" s="6" t="s">
        <v>10</v>
      </c>
      <c r="D28" s="7">
        <v>2.0</v>
      </c>
      <c r="E28" s="6">
        <v>3.0</v>
      </c>
      <c r="F28" s="6"/>
      <c r="G28" s="6"/>
      <c r="H28" s="6" t="s">
        <v>299</v>
      </c>
      <c r="I28" s="6" t="s">
        <v>300</v>
      </c>
      <c r="K28" s="4" t="str">
        <f t="shared" si="1"/>
        <v>RQ-57 Recuperación automática al restablecer conexión</v>
      </c>
    </row>
    <row r="29">
      <c r="A29" s="6" t="s">
        <v>145</v>
      </c>
      <c r="B29" s="6" t="s">
        <v>301</v>
      </c>
      <c r="C29" s="6" t="s">
        <v>10</v>
      </c>
      <c r="D29" s="7">
        <v>3.0</v>
      </c>
      <c r="E29" s="6">
        <v>3.0</v>
      </c>
      <c r="F29" s="6"/>
      <c r="G29" s="6"/>
      <c r="H29" s="6" t="s">
        <v>302</v>
      </c>
      <c r="I29" s="6" t="s">
        <v>303</v>
      </c>
      <c r="K29" s="4" t="str">
        <f t="shared" si="1"/>
        <v>RQ-58 Validación integral del módulo Usuario</v>
      </c>
    </row>
    <row r="30">
      <c r="A30" s="6" t="s">
        <v>150</v>
      </c>
      <c r="B30" s="6" t="s">
        <v>304</v>
      </c>
      <c r="C30" s="6" t="s">
        <v>10</v>
      </c>
      <c r="D30" s="7">
        <v>3.0</v>
      </c>
      <c r="E30" s="6">
        <v>3.0</v>
      </c>
      <c r="F30" s="6"/>
      <c r="G30" s="6"/>
      <c r="H30" s="6" t="s">
        <v>305</v>
      </c>
      <c r="I30" s="6" t="s">
        <v>306</v>
      </c>
      <c r="K30" s="4" t="str">
        <f t="shared" si="1"/>
        <v>RQ-59 Corrección de incidencias del Sprint 2</v>
      </c>
    </row>
    <row r="31">
      <c r="A31" s="6" t="s">
        <v>154</v>
      </c>
      <c r="B31" s="6" t="s">
        <v>307</v>
      </c>
      <c r="C31" s="6" t="s">
        <v>10</v>
      </c>
      <c r="D31" s="7">
        <v>3.0</v>
      </c>
      <c r="E31" s="6">
        <v>3.0</v>
      </c>
      <c r="F31" s="6"/>
      <c r="G31" s="6"/>
      <c r="H31" s="6" t="s">
        <v>308</v>
      </c>
      <c r="I31" s="6" t="s">
        <v>309</v>
      </c>
      <c r="K31" s="4" t="str">
        <f t="shared" si="1"/>
        <v>RQ-60 Integración de módulos 4, 7 y 8</v>
      </c>
    </row>
    <row r="32">
      <c r="A32" s="4" t="s">
        <v>158</v>
      </c>
      <c r="B32" s="4" t="s">
        <v>310</v>
      </c>
      <c r="C32" s="4" t="s">
        <v>10</v>
      </c>
      <c r="D32" s="9">
        <v>1.0</v>
      </c>
      <c r="E32" s="9">
        <v>3.0</v>
      </c>
      <c r="F32" s="4"/>
      <c r="G32" s="4"/>
      <c r="H32" s="4" t="s">
        <v>311</v>
      </c>
      <c r="I32" s="4" t="s">
        <v>312</v>
      </c>
      <c r="K32" s="4" t="str">
        <f t="shared" si="1"/>
        <v>RQ-61 Inicio del servicio de transporte por parte del chofer</v>
      </c>
      <c r="L32" s="8" t="str">
        <f t="shared" ref="L32:L51" si="2">H32</f>
        <v>Verificar que el chofer pueda iniciar correctamente el servicio de la unidad asignada.</v>
      </c>
      <c r="N32" s="4" t="s">
        <v>313</v>
      </c>
      <c r="O32" s="8" t="str">
        <f t="shared" ref="O32:O51" si="3">UPPER(C32)</f>
        <v>ALTA</v>
      </c>
    </row>
    <row r="33">
      <c r="A33" s="4" t="s">
        <v>162</v>
      </c>
      <c r="B33" s="4" t="s">
        <v>314</v>
      </c>
      <c r="C33" s="4" t="s">
        <v>10</v>
      </c>
      <c r="D33" s="9">
        <v>1.0</v>
      </c>
      <c r="E33" s="9">
        <v>3.0</v>
      </c>
      <c r="F33" s="4"/>
      <c r="G33" s="4"/>
      <c r="H33" s="4" t="s">
        <v>315</v>
      </c>
      <c r="I33" s="4" t="s">
        <v>316</v>
      </c>
      <c r="K33" s="4" t="str">
        <f t="shared" si="1"/>
        <v>RQ-62 Detención del servicio de transporte por parte del chofer</v>
      </c>
      <c r="L33" s="8" t="str">
        <f t="shared" si="2"/>
        <v>Verificar que el chofer pueda finalizar el servicio y cambiar correctamente el estado de la unidad.</v>
      </c>
      <c r="N33" s="4" t="s">
        <v>313</v>
      </c>
      <c r="O33" s="8" t="str">
        <f t="shared" si="3"/>
        <v>ALTA</v>
      </c>
    </row>
    <row r="34">
      <c r="A34" s="4" t="s">
        <v>165</v>
      </c>
      <c r="B34" s="4" t="s">
        <v>317</v>
      </c>
      <c r="C34" s="4" t="s">
        <v>10</v>
      </c>
      <c r="D34" s="9">
        <v>2.0</v>
      </c>
      <c r="E34" s="9">
        <v>3.0</v>
      </c>
      <c r="F34" s="4"/>
      <c r="G34" s="4"/>
      <c r="H34" s="4" t="s">
        <v>318</v>
      </c>
      <c r="I34" s="4" t="s">
        <v>319</v>
      </c>
      <c r="K34" s="4" t="str">
        <f t="shared" si="1"/>
        <v>RQ-63 Visualización de rutas asignadas al chofer</v>
      </c>
      <c r="L34" s="8" t="str">
        <f t="shared" si="2"/>
        <v>Mostrar correctamente la ruta y recorrido asignado al chofer.</v>
      </c>
      <c r="N34" s="4" t="s">
        <v>313</v>
      </c>
      <c r="O34" s="8" t="str">
        <f t="shared" si="3"/>
        <v>ALTA</v>
      </c>
    </row>
    <row r="35">
      <c r="A35" s="4" t="s">
        <v>168</v>
      </c>
      <c r="B35" s="4" t="s">
        <v>320</v>
      </c>
      <c r="C35" s="4" t="s">
        <v>10</v>
      </c>
      <c r="D35" s="9">
        <v>2.0</v>
      </c>
      <c r="E35" s="9">
        <v>3.0</v>
      </c>
      <c r="F35" s="4"/>
      <c r="G35" s="4"/>
      <c r="H35" s="4" t="s">
        <v>321</v>
      </c>
      <c r="I35" s="4" t="s">
        <v>322</v>
      </c>
      <c r="K35" s="4" t="str">
        <f t="shared" si="1"/>
        <v>RQ-64 Gestión de unidades de transporte</v>
      </c>
      <c r="L35" s="8" t="str">
        <f t="shared" si="2"/>
        <v>Verificar consulta y actualización de la información de la unidad asignada.</v>
      </c>
      <c r="N35" s="4" t="s">
        <v>313</v>
      </c>
      <c r="O35" s="8" t="str">
        <f t="shared" si="3"/>
        <v>ALTA</v>
      </c>
    </row>
    <row r="36">
      <c r="A36" s="4" t="s">
        <v>171</v>
      </c>
      <c r="B36" s="4" t="s">
        <v>323</v>
      </c>
      <c r="C36" s="4" t="s">
        <v>10</v>
      </c>
      <c r="D36" s="9">
        <v>2.0</v>
      </c>
      <c r="E36" s="9">
        <v>3.0</v>
      </c>
      <c r="F36" s="4"/>
      <c r="G36" s="4"/>
      <c r="H36" s="4" t="s">
        <v>324</v>
      </c>
      <c r="I36" s="4" t="s">
        <v>325</v>
      </c>
      <c r="K36" s="4" t="str">
        <f t="shared" si="1"/>
        <v>RQ-65 Cobro de viaje mediante el módulo del chofer</v>
      </c>
      <c r="L36" s="8" t="str">
        <f t="shared" si="2"/>
        <v>Registrar correctamente el cobro y actualizar la información correspondiente del viaje.</v>
      </c>
      <c r="N36" s="4" t="s">
        <v>313</v>
      </c>
      <c r="O36" s="8" t="str">
        <f t="shared" si="3"/>
        <v>ALTA</v>
      </c>
    </row>
    <row r="37">
      <c r="A37" s="4" t="s">
        <v>175</v>
      </c>
      <c r="B37" s="4" t="s">
        <v>326</v>
      </c>
      <c r="C37" s="4" t="s">
        <v>39</v>
      </c>
      <c r="D37" s="9">
        <v>1.0</v>
      </c>
      <c r="E37" s="9">
        <v>3.0</v>
      </c>
      <c r="F37" s="4"/>
      <c r="G37" s="4"/>
      <c r="H37" s="4" t="s">
        <v>327</v>
      </c>
      <c r="I37" s="4" t="s">
        <v>328</v>
      </c>
      <c r="K37" s="4" t="str">
        <f t="shared" si="1"/>
        <v>RQ-66 Notificación de llegada o parada durante el servicio</v>
      </c>
      <c r="L37" s="8" t="str">
        <f t="shared" si="2"/>
        <v>Verificar que el chofer pueda recibir o generar correctamente la notificación asociada a una parada.</v>
      </c>
      <c r="N37" s="4" t="s">
        <v>313</v>
      </c>
      <c r="O37" s="8" t="str">
        <f t="shared" si="3"/>
        <v>MEDIA</v>
      </c>
    </row>
    <row r="38">
      <c r="A38" s="4" t="s">
        <v>176</v>
      </c>
      <c r="B38" s="4" t="s">
        <v>329</v>
      </c>
      <c r="C38" s="4" t="s">
        <v>39</v>
      </c>
      <c r="D38" s="9">
        <v>2.0</v>
      </c>
      <c r="E38" s="9">
        <v>3.0</v>
      </c>
      <c r="F38" s="4"/>
      <c r="G38" s="4"/>
      <c r="H38" s="4" t="s">
        <v>330</v>
      </c>
      <c r="I38" s="4" t="s">
        <v>331</v>
      </c>
      <c r="K38" s="4" t="str">
        <f t="shared" si="1"/>
        <v>RQ-67 Consulta del historial de viajes realizados por el chofer</v>
      </c>
      <c r="L38" s="8" t="str">
        <f t="shared" si="2"/>
        <v>Mostrar los viajes realizados por el chofer de forma cronológica.</v>
      </c>
      <c r="N38" s="4" t="s">
        <v>313</v>
      </c>
      <c r="O38" s="8" t="str">
        <f t="shared" si="3"/>
        <v>MEDIA</v>
      </c>
    </row>
    <row r="39">
      <c r="A39" s="4" t="s">
        <v>178</v>
      </c>
      <c r="B39" s="4" t="s">
        <v>332</v>
      </c>
      <c r="C39" s="4" t="s">
        <v>39</v>
      </c>
      <c r="D39" s="9">
        <v>2.0</v>
      </c>
      <c r="E39" s="9">
        <v>3.0</v>
      </c>
      <c r="F39" s="4"/>
      <c r="G39" s="4"/>
      <c r="H39" s="4" t="s">
        <v>333</v>
      </c>
      <c r="I39" s="4" t="s">
        <v>334</v>
      </c>
      <c r="K39" s="4" t="str">
        <f t="shared" si="1"/>
        <v>RQ-68 Consulta del rendimiento del chofer</v>
      </c>
      <c r="L39" s="8" t="str">
        <f t="shared" si="2"/>
        <v>Mostrar correctamente los indicadores de rendimiento registrados para el chofer.</v>
      </c>
      <c r="N39" s="4" t="s">
        <v>313</v>
      </c>
      <c r="O39" s="8" t="str">
        <f t="shared" si="3"/>
        <v>MEDIA</v>
      </c>
    </row>
    <row r="40">
      <c r="A40" s="4" t="s">
        <v>183</v>
      </c>
      <c r="B40" s="4" t="s">
        <v>335</v>
      </c>
      <c r="C40" s="4" t="s">
        <v>10</v>
      </c>
      <c r="D40" s="9">
        <v>2.0</v>
      </c>
      <c r="E40" s="9">
        <v>3.0</v>
      </c>
      <c r="F40" s="4"/>
      <c r="G40" s="4"/>
      <c r="H40" s="4" t="s">
        <v>336</v>
      </c>
      <c r="I40" s="4" t="s">
        <v>337</v>
      </c>
      <c r="K40" s="4" t="str">
        <f t="shared" si="1"/>
        <v>RQ-69 Consulta del historial de ingresos del chofer</v>
      </c>
      <c r="L40" s="8" t="str">
        <f t="shared" si="2"/>
        <v>Verificar que los ingresos registrados sean mostrados correctamente y correspondan a los viajes realizados.</v>
      </c>
      <c r="N40" s="4" t="s">
        <v>313</v>
      </c>
      <c r="O40" s="8" t="str">
        <f t="shared" si="3"/>
        <v>ALTA</v>
      </c>
    </row>
    <row r="41">
      <c r="A41" s="4" t="s">
        <v>185</v>
      </c>
      <c r="B41" s="4" t="s">
        <v>338</v>
      </c>
      <c r="C41" s="4" t="s">
        <v>190</v>
      </c>
      <c r="D41" s="9">
        <v>2.0</v>
      </c>
      <c r="E41" s="9">
        <v>3.0</v>
      </c>
      <c r="F41" s="4"/>
      <c r="G41" s="4"/>
      <c r="H41" s="4" t="s">
        <v>339</v>
      </c>
      <c r="I41" s="4" t="s">
        <v>340</v>
      </c>
      <c r="K41" s="4" t="str">
        <f t="shared" si="1"/>
        <v>RQ-70 Descarga de información del historial del chofer</v>
      </c>
      <c r="L41" s="8" t="str">
        <f t="shared" si="2"/>
        <v>Generar y descargar correctamente el archivo con la información solicitada.</v>
      </c>
      <c r="N41" s="4" t="s">
        <v>313</v>
      </c>
      <c r="O41" s="8" t="str">
        <f t="shared" si="3"/>
        <v>BAJA</v>
      </c>
    </row>
    <row r="42">
      <c r="A42" s="4" t="s">
        <v>189</v>
      </c>
      <c r="B42" s="4" t="s">
        <v>341</v>
      </c>
      <c r="C42" s="4" t="s">
        <v>10</v>
      </c>
      <c r="D42" s="9">
        <v>2.0</v>
      </c>
      <c r="E42" s="9">
        <v>3.0</v>
      </c>
      <c r="F42" s="4"/>
      <c r="G42" s="4"/>
      <c r="H42" s="4" t="s">
        <v>342</v>
      </c>
      <c r="I42" s="4" t="s">
        <v>343</v>
      </c>
      <c r="K42" s="4" t="str">
        <f t="shared" si="1"/>
        <v>RQ-71 Gestión de usuarios por parte del administrador</v>
      </c>
      <c r="L42" s="8" t="str">
        <f t="shared" si="2"/>
        <v>Verificar que el administrador pueda consultar y gestionar usuarios registrados.</v>
      </c>
      <c r="N42" s="4" t="s">
        <v>313</v>
      </c>
      <c r="O42" s="8" t="str">
        <f t="shared" si="3"/>
        <v>ALTA</v>
      </c>
    </row>
    <row r="43">
      <c r="A43" s="4" t="s">
        <v>192</v>
      </c>
      <c r="B43" s="4" t="s">
        <v>344</v>
      </c>
      <c r="C43" s="4" t="s">
        <v>10</v>
      </c>
      <c r="D43" s="9">
        <v>2.0</v>
      </c>
      <c r="E43" s="9">
        <v>3.0</v>
      </c>
      <c r="F43" s="4"/>
      <c r="G43" s="4"/>
      <c r="H43" s="4" t="s">
        <v>345</v>
      </c>
      <c r="I43" s="4" t="s">
        <v>346</v>
      </c>
      <c r="K43" s="4" t="str">
        <f t="shared" si="1"/>
        <v>RQ-72 Aprobación o bloqueo de usuarios</v>
      </c>
      <c r="L43" s="8" t="str">
        <f t="shared" si="2"/>
        <v>Verificar el cambio de estado de un usuario y su persistencia.</v>
      </c>
      <c r="N43" s="4" t="s">
        <v>313</v>
      </c>
      <c r="O43" s="8" t="str">
        <f t="shared" si="3"/>
        <v>ALTA</v>
      </c>
    </row>
    <row r="44">
      <c r="A44" s="4" t="s">
        <v>195</v>
      </c>
      <c r="B44" s="4" t="s">
        <v>347</v>
      </c>
      <c r="C44" s="4" t="s">
        <v>10</v>
      </c>
      <c r="D44" s="9">
        <v>2.0</v>
      </c>
      <c r="E44" s="9">
        <v>3.0</v>
      </c>
      <c r="F44" s="4"/>
      <c r="G44" s="4"/>
      <c r="H44" s="4" t="s">
        <v>348</v>
      </c>
      <c r="I44" s="4" t="s">
        <v>349</v>
      </c>
      <c r="K44" s="4" t="str">
        <f t="shared" si="1"/>
        <v>RQ-73 Gestión de administradores del sistema</v>
      </c>
      <c r="L44" s="8" t="str">
        <f t="shared" si="2"/>
        <v>Registrar y eliminar administradores verificando correctamente sus permisos.</v>
      </c>
      <c r="N44" s="4" t="s">
        <v>313</v>
      </c>
      <c r="O44" s="8" t="str">
        <f t="shared" si="3"/>
        <v>ALTA</v>
      </c>
    </row>
    <row r="45">
      <c r="A45" s="4" t="s">
        <v>200</v>
      </c>
      <c r="B45" s="4" t="s">
        <v>350</v>
      </c>
      <c r="C45" s="4" t="s">
        <v>10</v>
      </c>
      <c r="D45" s="9">
        <v>2.0</v>
      </c>
      <c r="E45" s="9">
        <v>3.0</v>
      </c>
      <c r="F45" s="4"/>
      <c r="G45" s="4"/>
      <c r="H45" s="4" t="s">
        <v>351</v>
      </c>
      <c r="I45" s="4" t="s">
        <v>352</v>
      </c>
      <c r="K45" s="4" t="str">
        <f t="shared" si="1"/>
        <v>RQ-74 Configuración de privilegios de administrador</v>
      </c>
      <c r="L45" s="8" t="str">
        <f t="shared" si="2"/>
        <v>Verificar que los privilegios asignados determinen correctamente las operaciones disponibles.</v>
      </c>
      <c r="N45" s="4" t="s">
        <v>313</v>
      </c>
      <c r="O45" s="8" t="str">
        <f t="shared" si="3"/>
        <v>ALTA</v>
      </c>
    </row>
    <row r="46">
      <c r="A46" s="4" t="s">
        <v>203</v>
      </c>
      <c r="B46" s="4" t="s">
        <v>353</v>
      </c>
      <c r="C46" s="4" t="s">
        <v>10</v>
      </c>
      <c r="D46" s="9">
        <v>1.0</v>
      </c>
      <c r="E46" s="9">
        <v>3.0</v>
      </c>
      <c r="F46" s="4"/>
      <c r="G46" s="4"/>
      <c r="H46" s="4" t="s">
        <v>354</v>
      </c>
      <c r="I46" s="4" t="s">
        <v>355</v>
      </c>
      <c r="K46" s="4" t="str">
        <f t="shared" si="1"/>
        <v>RQ-75 Consulta de unidades activas</v>
      </c>
      <c r="L46" s="8" t="str">
        <f t="shared" si="2"/>
        <v>Mostrar las unidades actualmente activas y su estado correctamente.</v>
      </c>
      <c r="N46" s="4" t="s">
        <v>313</v>
      </c>
      <c r="O46" s="8" t="str">
        <f t="shared" si="3"/>
        <v>ALTA</v>
      </c>
    </row>
    <row r="47">
      <c r="A47" s="4" t="s">
        <v>206</v>
      </c>
      <c r="B47" s="4" t="s">
        <v>356</v>
      </c>
      <c r="C47" s="4" t="s">
        <v>10</v>
      </c>
      <c r="D47" s="9">
        <v>2.0</v>
      </c>
      <c r="E47" s="9">
        <v>3.0</v>
      </c>
      <c r="F47" s="4"/>
      <c r="G47" s="4"/>
      <c r="H47" s="4" t="s">
        <v>357</v>
      </c>
      <c r="I47" s="4" t="s">
        <v>358</v>
      </c>
      <c r="K47" s="4" t="str">
        <f t="shared" si="1"/>
        <v>RQ-76 Control de rutas desde el perfil administrativo/presidente</v>
      </c>
      <c r="L47" s="8" t="str">
        <f t="shared" si="2"/>
        <v>Verificar la visualización y seguimiento de las rutas activas.</v>
      </c>
      <c r="N47" s="4" t="s">
        <v>313</v>
      </c>
      <c r="O47" s="8" t="str">
        <f t="shared" si="3"/>
        <v>ALTA</v>
      </c>
    </row>
    <row r="48">
      <c r="A48" s="4" t="s">
        <v>208</v>
      </c>
      <c r="B48" s="4" t="s">
        <v>359</v>
      </c>
      <c r="C48" s="4" t="s">
        <v>39</v>
      </c>
      <c r="D48" s="9">
        <v>2.0</v>
      </c>
      <c r="E48" s="9">
        <v>3.0</v>
      </c>
      <c r="F48" s="4"/>
      <c r="G48" s="4"/>
      <c r="H48" s="4" t="s">
        <v>360</v>
      </c>
      <c r="I48" s="4" t="s">
        <v>361</v>
      </c>
      <c r="K48" s="4" t="str">
        <f t="shared" si="1"/>
        <v>RQ-77 Consulta de reportes operativos</v>
      </c>
      <c r="L48" s="8" t="str">
        <f t="shared" si="2"/>
        <v>Mostrar correctamente la información consolidada en los reportes.</v>
      </c>
      <c r="N48" s="4" t="s">
        <v>313</v>
      </c>
      <c r="O48" s="8" t="str">
        <f t="shared" si="3"/>
        <v>MEDIA</v>
      </c>
    </row>
    <row r="49">
      <c r="A49" s="4" t="s">
        <v>213</v>
      </c>
      <c r="B49" s="4" t="s">
        <v>362</v>
      </c>
      <c r="C49" s="4" t="s">
        <v>10</v>
      </c>
      <c r="D49" s="9">
        <v>2.0</v>
      </c>
      <c r="E49" s="9">
        <v>3.0</v>
      </c>
      <c r="F49" s="4"/>
      <c r="G49" s="4"/>
      <c r="H49" s="4" t="s">
        <v>363</v>
      </c>
      <c r="I49" s="4" t="s">
        <v>364</v>
      </c>
      <c r="K49" s="4" t="str">
        <f t="shared" si="1"/>
        <v>RQ-78 Operación del modo Tickeador para validación de viajes</v>
      </c>
      <c r="L49" s="8" t="str">
        <f t="shared" si="2"/>
        <v>Verificar que el usuario Tickeador pueda acceder al modo correspondiente y realizar la operación asignada.</v>
      </c>
      <c r="N49" s="4" t="s">
        <v>313</v>
      </c>
      <c r="O49" s="8" t="str">
        <f t="shared" si="3"/>
        <v>ALTA</v>
      </c>
    </row>
    <row r="50">
      <c r="A50" s="4" t="s">
        <v>215</v>
      </c>
      <c r="B50" s="4" t="s">
        <v>365</v>
      </c>
      <c r="C50" s="4" t="s">
        <v>39</v>
      </c>
      <c r="D50" s="9">
        <v>2.0</v>
      </c>
      <c r="E50" s="9">
        <v>3.0</v>
      </c>
      <c r="F50" s="4"/>
      <c r="G50" s="4"/>
      <c r="H50" s="4" t="s">
        <v>366</v>
      </c>
      <c r="I50" s="4" t="s">
        <v>367</v>
      </c>
      <c r="K50" s="4" t="str">
        <f t="shared" si="1"/>
        <v>RQ-79 Consulta del historial de operaciones del Tickeador</v>
      </c>
      <c r="L50" s="8" t="str">
        <f t="shared" si="2"/>
        <v>Mostrar las operaciones realizadas por el Tickeador de forma cronológica.</v>
      </c>
      <c r="N50" s="4" t="s">
        <v>313</v>
      </c>
      <c r="O50" s="8" t="str">
        <f t="shared" si="3"/>
        <v>MEDIA</v>
      </c>
    </row>
    <row r="51">
      <c r="A51" s="4" t="s">
        <v>218</v>
      </c>
      <c r="B51" s="4" t="s">
        <v>368</v>
      </c>
      <c r="C51" s="4" t="s">
        <v>10</v>
      </c>
      <c r="D51" s="9">
        <v>2.0</v>
      </c>
      <c r="E51" s="9">
        <v>3.0</v>
      </c>
      <c r="F51" s="4"/>
      <c r="G51" s="4"/>
      <c r="H51" s="4" t="s">
        <v>369</v>
      </c>
      <c r="I51" s="4" t="s">
        <v>370</v>
      </c>
      <c r="K51" s="4" t="str">
        <f t="shared" si="1"/>
        <v>RQ-80 Consulta consolidada de información desde el perfil Presidente</v>
      </c>
      <c r="L51" s="8" t="str">
        <f t="shared" si="2"/>
        <v>Verificar que el Presidente pueda consultar control de rutas, unidades y reportes disponibles.</v>
      </c>
      <c r="N51" s="4" t="s">
        <v>313</v>
      </c>
      <c r="O51" s="8" t="str">
        <f t="shared" si="3"/>
        <v>ALTA</v>
      </c>
    </row>
  </sheetData>
  <autoFilter ref="$A$1:$I$51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3.13"/>
    <col customWidth="1" min="3" max="7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1" t="s">
        <v>9</v>
      </c>
      <c r="C2" s="1" t="s">
        <v>10</v>
      </c>
      <c r="D2" s="5">
        <v>2.0</v>
      </c>
      <c r="E2" s="1" t="s">
        <v>13</v>
      </c>
      <c r="F2" s="3" t="s">
        <v>15</v>
      </c>
      <c r="G2" s="3" t="s">
        <v>16</v>
      </c>
      <c r="H2" s="8" t="str">
        <f t="shared" ref="H2:H31" si="1">LEFT(D2,1)</f>
        <v>2</v>
      </c>
      <c r="I2" s="8">
        <f t="shared" ref="I2:I31" si="2">VALUE(H2)</f>
        <v>2</v>
      </c>
    </row>
    <row r="3">
      <c r="A3" s="3" t="s">
        <v>22</v>
      </c>
      <c r="B3" s="1" t="s">
        <v>24</v>
      </c>
      <c r="C3" s="1" t="s">
        <v>10</v>
      </c>
      <c r="D3" s="5">
        <v>2.0</v>
      </c>
      <c r="E3" s="1" t="s">
        <v>26</v>
      </c>
      <c r="F3" s="3" t="s">
        <v>27</v>
      </c>
      <c r="G3" s="3" t="s">
        <v>16</v>
      </c>
      <c r="H3" s="8" t="str">
        <f t="shared" si="1"/>
        <v>2</v>
      </c>
      <c r="I3" s="8">
        <f t="shared" si="2"/>
        <v>2</v>
      </c>
    </row>
    <row r="4">
      <c r="A4" s="3" t="s">
        <v>29</v>
      </c>
      <c r="B4" s="1" t="s">
        <v>30</v>
      </c>
      <c r="C4" s="1" t="s">
        <v>10</v>
      </c>
      <c r="D4" s="5">
        <v>2.0</v>
      </c>
      <c r="E4" s="1" t="s">
        <v>31</v>
      </c>
      <c r="F4" s="3" t="s">
        <v>32</v>
      </c>
      <c r="G4" s="3" t="s">
        <v>33</v>
      </c>
      <c r="H4" s="8" t="str">
        <f t="shared" si="1"/>
        <v>2</v>
      </c>
      <c r="I4" s="8">
        <f t="shared" si="2"/>
        <v>2</v>
      </c>
    </row>
    <row r="5">
      <c r="A5" s="3" t="s">
        <v>35</v>
      </c>
      <c r="B5" s="1" t="s">
        <v>37</v>
      </c>
      <c r="C5" s="1" t="s">
        <v>10</v>
      </c>
      <c r="D5" s="5">
        <v>2.0</v>
      </c>
      <c r="E5" s="1" t="s">
        <v>40</v>
      </c>
      <c r="F5" s="3" t="s">
        <v>41</v>
      </c>
      <c r="G5" s="3" t="s">
        <v>33</v>
      </c>
      <c r="H5" s="8" t="str">
        <f t="shared" si="1"/>
        <v>2</v>
      </c>
      <c r="I5" s="8">
        <f t="shared" si="2"/>
        <v>2</v>
      </c>
    </row>
    <row r="6">
      <c r="A6" s="3" t="s">
        <v>43</v>
      </c>
      <c r="B6" s="1" t="s">
        <v>44</v>
      </c>
      <c r="C6" s="1" t="s">
        <v>39</v>
      </c>
      <c r="D6" s="5">
        <v>2.0</v>
      </c>
      <c r="E6" s="1" t="s">
        <v>47</v>
      </c>
      <c r="F6" s="3" t="s">
        <v>48</v>
      </c>
      <c r="G6" s="3" t="s">
        <v>50</v>
      </c>
      <c r="H6" s="8" t="str">
        <f t="shared" si="1"/>
        <v>2</v>
      </c>
      <c r="I6" s="8">
        <f t="shared" si="2"/>
        <v>2</v>
      </c>
    </row>
    <row r="7">
      <c r="A7" s="3" t="s">
        <v>52</v>
      </c>
      <c r="B7" s="1" t="s">
        <v>53</v>
      </c>
      <c r="C7" s="1" t="s">
        <v>10</v>
      </c>
      <c r="D7" s="5">
        <v>2.0</v>
      </c>
      <c r="E7" s="1" t="s">
        <v>55</v>
      </c>
      <c r="F7" s="3" t="s">
        <v>56</v>
      </c>
      <c r="G7" s="3" t="s">
        <v>57</v>
      </c>
      <c r="H7" s="8" t="str">
        <f t="shared" si="1"/>
        <v>2</v>
      </c>
      <c r="I7" s="8">
        <f t="shared" si="2"/>
        <v>2</v>
      </c>
    </row>
    <row r="8">
      <c r="A8" s="3" t="s">
        <v>58</v>
      </c>
      <c r="B8" s="1" t="s">
        <v>60</v>
      </c>
      <c r="C8" s="1" t="s">
        <v>39</v>
      </c>
      <c r="D8" s="5">
        <v>2.0</v>
      </c>
      <c r="E8" s="1" t="s">
        <v>61</v>
      </c>
      <c r="F8" s="3" t="s">
        <v>62</v>
      </c>
      <c r="G8" s="3" t="s">
        <v>64</v>
      </c>
      <c r="H8" s="8" t="str">
        <f t="shared" si="1"/>
        <v>2</v>
      </c>
      <c r="I8" s="8">
        <f t="shared" si="2"/>
        <v>2</v>
      </c>
    </row>
    <row r="9">
      <c r="A9" s="3" t="s">
        <v>67</v>
      </c>
      <c r="B9" s="1" t="s">
        <v>68</v>
      </c>
      <c r="C9" s="1" t="s">
        <v>39</v>
      </c>
      <c r="D9" s="5">
        <v>2.0</v>
      </c>
      <c r="E9" s="1" t="s">
        <v>70</v>
      </c>
      <c r="F9" s="3" t="s">
        <v>72</v>
      </c>
      <c r="G9" s="3" t="s">
        <v>73</v>
      </c>
      <c r="H9" s="8" t="str">
        <f t="shared" si="1"/>
        <v>2</v>
      </c>
      <c r="I9" s="8">
        <f t="shared" si="2"/>
        <v>2</v>
      </c>
    </row>
    <row r="10">
      <c r="A10" s="3" t="s">
        <v>74</v>
      </c>
      <c r="B10" s="1" t="s">
        <v>76</v>
      </c>
      <c r="C10" s="1" t="s">
        <v>10</v>
      </c>
      <c r="D10" s="5">
        <v>3.0</v>
      </c>
      <c r="E10" s="1" t="s">
        <v>78</v>
      </c>
      <c r="F10" s="3" t="s">
        <v>15</v>
      </c>
      <c r="G10" s="3" t="s">
        <v>80</v>
      </c>
      <c r="H10" s="8" t="str">
        <f t="shared" si="1"/>
        <v>3</v>
      </c>
      <c r="I10" s="8">
        <f t="shared" si="2"/>
        <v>3</v>
      </c>
    </row>
    <row r="11">
      <c r="A11" s="3" t="s">
        <v>82</v>
      </c>
      <c r="B11" s="1" t="s">
        <v>83</v>
      </c>
      <c r="C11" s="1" t="s">
        <v>10</v>
      </c>
      <c r="D11" s="5">
        <v>2.0</v>
      </c>
      <c r="E11" s="1" t="s">
        <v>84</v>
      </c>
      <c r="F11" s="3" t="s">
        <v>86</v>
      </c>
      <c r="G11" s="3" t="s">
        <v>50</v>
      </c>
      <c r="H11" s="8" t="str">
        <f t="shared" si="1"/>
        <v>2</v>
      </c>
      <c r="I11" s="8">
        <f t="shared" si="2"/>
        <v>2</v>
      </c>
    </row>
    <row r="12">
      <c r="A12" s="3" t="s">
        <v>88</v>
      </c>
      <c r="B12" s="1" t="s">
        <v>89</v>
      </c>
      <c r="C12" s="1" t="s">
        <v>10</v>
      </c>
      <c r="D12" s="5">
        <v>2.0</v>
      </c>
      <c r="E12" s="1" t="s">
        <v>91</v>
      </c>
      <c r="F12" s="3" t="s">
        <v>41</v>
      </c>
      <c r="G12" s="3" t="s">
        <v>64</v>
      </c>
      <c r="H12" s="8" t="str">
        <f t="shared" si="1"/>
        <v>2</v>
      </c>
      <c r="I12" s="8">
        <f t="shared" si="2"/>
        <v>2</v>
      </c>
    </row>
    <row r="13">
      <c r="A13" s="3" t="s">
        <v>93</v>
      </c>
      <c r="B13" s="1" t="s">
        <v>94</v>
      </c>
      <c r="C13" s="1" t="s">
        <v>39</v>
      </c>
      <c r="D13" s="5">
        <v>2.0</v>
      </c>
      <c r="E13" s="1" t="s">
        <v>97</v>
      </c>
      <c r="F13" s="3" t="s">
        <v>98</v>
      </c>
      <c r="G13" s="3" t="s">
        <v>33</v>
      </c>
      <c r="H13" s="8" t="str">
        <f t="shared" si="1"/>
        <v>2</v>
      </c>
      <c r="I13" s="8">
        <f t="shared" si="2"/>
        <v>2</v>
      </c>
    </row>
    <row r="14">
      <c r="A14" s="3" t="s">
        <v>99</v>
      </c>
      <c r="B14" s="1" t="s">
        <v>101</v>
      </c>
      <c r="C14" s="1" t="s">
        <v>39</v>
      </c>
      <c r="D14" s="5">
        <v>2.0</v>
      </c>
      <c r="E14" s="1" t="s">
        <v>103</v>
      </c>
      <c r="F14" s="3" t="s">
        <v>104</v>
      </c>
      <c r="G14" s="3" t="s">
        <v>105</v>
      </c>
      <c r="H14" s="8" t="str">
        <f t="shared" si="1"/>
        <v>2</v>
      </c>
      <c r="I14" s="8">
        <f t="shared" si="2"/>
        <v>2</v>
      </c>
    </row>
    <row r="15">
      <c r="A15" s="3" t="s">
        <v>106</v>
      </c>
      <c r="B15" s="1" t="s">
        <v>107</v>
      </c>
      <c r="C15" s="1" t="s">
        <v>39</v>
      </c>
      <c r="D15" s="5">
        <v>2.0</v>
      </c>
      <c r="E15" s="1" t="s">
        <v>110</v>
      </c>
      <c r="F15" s="3" t="s">
        <v>56</v>
      </c>
      <c r="G15" s="3" t="s">
        <v>57</v>
      </c>
      <c r="H15" s="8" t="str">
        <f t="shared" si="1"/>
        <v>2</v>
      </c>
      <c r="I15" s="8">
        <f t="shared" si="2"/>
        <v>2</v>
      </c>
    </row>
    <row r="16">
      <c r="A16" s="3" t="s">
        <v>113</v>
      </c>
      <c r="B16" s="1" t="s">
        <v>114</v>
      </c>
      <c r="C16" s="1" t="s">
        <v>39</v>
      </c>
      <c r="D16" s="5">
        <v>2.0</v>
      </c>
      <c r="E16" s="1" t="s">
        <v>116</v>
      </c>
      <c r="F16" s="3" t="s">
        <v>48</v>
      </c>
      <c r="G16" s="3" t="s">
        <v>73</v>
      </c>
      <c r="H16" s="8" t="str">
        <f t="shared" si="1"/>
        <v>2</v>
      </c>
      <c r="I16" s="8">
        <f t="shared" si="2"/>
        <v>2</v>
      </c>
    </row>
    <row r="17">
      <c r="A17" s="3" t="s">
        <v>117</v>
      </c>
      <c r="B17" s="1" t="s">
        <v>122</v>
      </c>
      <c r="C17" s="1" t="s">
        <v>10</v>
      </c>
      <c r="D17" s="5">
        <v>2.0</v>
      </c>
      <c r="E17" s="1" t="s">
        <v>124</v>
      </c>
      <c r="F17" s="3" t="s">
        <v>15</v>
      </c>
      <c r="G17" s="3" t="s">
        <v>16</v>
      </c>
      <c r="H17" s="8" t="str">
        <f t="shared" si="1"/>
        <v>2</v>
      </c>
      <c r="I17" s="8">
        <f t="shared" si="2"/>
        <v>2</v>
      </c>
    </row>
    <row r="18">
      <c r="A18" s="3" t="s">
        <v>127</v>
      </c>
      <c r="B18" s="1" t="s">
        <v>128</v>
      </c>
      <c r="C18" s="1" t="s">
        <v>10</v>
      </c>
      <c r="D18" s="5">
        <v>2.0</v>
      </c>
      <c r="E18" s="1" t="s">
        <v>129</v>
      </c>
      <c r="F18" s="3" t="s">
        <v>27</v>
      </c>
      <c r="G18" s="3" t="s">
        <v>80</v>
      </c>
      <c r="H18" s="8" t="str">
        <f t="shared" si="1"/>
        <v>2</v>
      </c>
      <c r="I18" s="8">
        <f t="shared" si="2"/>
        <v>2</v>
      </c>
    </row>
    <row r="19">
      <c r="A19" s="3" t="s">
        <v>133</v>
      </c>
      <c r="B19" s="1" t="s">
        <v>134</v>
      </c>
      <c r="C19" s="1" t="s">
        <v>10</v>
      </c>
      <c r="D19" s="5">
        <v>2.0</v>
      </c>
      <c r="E19" s="1" t="s">
        <v>136</v>
      </c>
      <c r="F19" s="3" t="s">
        <v>41</v>
      </c>
      <c r="G19" s="3" t="s">
        <v>50</v>
      </c>
      <c r="H19" s="8" t="str">
        <f t="shared" si="1"/>
        <v>2</v>
      </c>
      <c r="I19" s="8">
        <f t="shared" si="2"/>
        <v>2</v>
      </c>
    </row>
    <row r="20">
      <c r="A20" s="3" t="s">
        <v>139</v>
      </c>
      <c r="B20" s="1" t="s">
        <v>140</v>
      </c>
      <c r="C20" s="1" t="s">
        <v>10</v>
      </c>
      <c r="D20" s="5">
        <v>3.0</v>
      </c>
      <c r="E20" s="1" t="s">
        <v>142</v>
      </c>
      <c r="F20" s="3" t="s">
        <v>15</v>
      </c>
      <c r="G20" s="3" t="s">
        <v>16</v>
      </c>
      <c r="H20" s="8" t="str">
        <f t="shared" si="1"/>
        <v>3</v>
      </c>
      <c r="I20" s="8">
        <f t="shared" si="2"/>
        <v>3</v>
      </c>
    </row>
    <row r="21">
      <c r="A21" s="3" t="s">
        <v>146</v>
      </c>
      <c r="B21" s="1" t="s">
        <v>147</v>
      </c>
      <c r="C21" s="1" t="s">
        <v>10</v>
      </c>
      <c r="D21" s="5">
        <v>3.0</v>
      </c>
      <c r="E21" s="1" t="s">
        <v>148</v>
      </c>
      <c r="F21" s="3" t="s">
        <v>56</v>
      </c>
      <c r="G21" s="3" t="s">
        <v>57</v>
      </c>
      <c r="H21" s="8" t="str">
        <f t="shared" si="1"/>
        <v>3</v>
      </c>
      <c r="I21" s="8">
        <f t="shared" si="2"/>
        <v>3</v>
      </c>
    </row>
    <row r="22">
      <c r="A22" s="3" t="s">
        <v>151</v>
      </c>
      <c r="B22" s="1" t="s">
        <v>152</v>
      </c>
      <c r="C22" s="1" t="s">
        <v>39</v>
      </c>
      <c r="D22" s="5">
        <v>2.0</v>
      </c>
      <c r="E22" s="1" t="s">
        <v>153</v>
      </c>
      <c r="F22" s="3" t="s">
        <v>86</v>
      </c>
      <c r="G22" s="3" t="s">
        <v>64</v>
      </c>
      <c r="H22" s="8" t="str">
        <f t="shared" si="1"/>
        <v>2</v>
      </c>
      <c r="I22" s="8">
        <f t="shared" si="2"/>
        <v>2</v>
      </c>
    </row>
    <row r="23">
      <c r="A23" s="3" t="s">
        <v>157</v>
      </c>
      <c r="B23" s="1" t="s">
        <v>159</v>
      </c>
      <c r="C23" s="1" t="s">
        <v>39</v>
      </c>
      <c r="D23" s="5">
        <v>2.0</v>
      </c>
      <c r="E23" s="1" t="s">
        <v>160</v>
      </c>
      <c r="F23" s="3" t="s">
        <v>98</v>
      </c>
      <c r="G23" s="3" t="s">
        <v>33</v>
      </c>
      <c r="H23" s="8" t="str">
        <f t="shared" si="1"/>
        <v>2</v>
      </c>
      <c r="I23" s="8">
        <f t="shared" si="2"/>
        <v>2</v>
      </c>
    </row>
    <row r="24">
      <c r="A24" s="3" t="s">
        <v>163</v>
      </c>
      <c r="B24" s="1" t="s">
        <v>164</v>
      </c>
      <c r="C24" s="1" t="s">
        <v>10</v>
      </c>
      <c r="D24" s="5">
        <v>3.0</v>
      </c>
      <c r="E24" s="1" t="s">
        <v>166</v>
      </c>
      <c r="F24" s="3" t="s">
        <v>27</v>
      </c>
      <c r="G24" s="3" t="s">
        <v>80</v>
      </c>
      <c r="H24" s="8" t="str">
        <f t="shared" si="1"/>
        <v>3</v>
      </c>
      <c r="I24" s="8">
        <f t="shared" si="2"/>
        <v>3</v>
      </c>
    </row>
    <row r="25">
      <c r="A25" s="3" t="s">
        <v>170</v>
      </c>
      <c r="B25" s="1" t="s">
        <v>172</v>
      </c>
      <c r="C25" s="1" t="s">
        <v>10</v>
      </c>
      <c r="D25" s="5">
        <v>3.0</v>
      </c>
      <c r="E25" s="1" t="s">
        <v>174</v>
      </c>
      <c r="F25" s="3" t="s">
        <v>41</v>
      </c>
      <c r="G25" s="3" t="s">
        <v>16</v>
      </c>
      <c r="H25" s="8" t="str">
        <f t="shared" si="1"/>
        <v>3</v>
      </c>
      <c r="I25" s="8">
        <f t="shared" si="2"/>
        <v>3</v>
      </c>
    </row>
    <row r="26">
      <c r="A26" s="3" t="s">
        <v>177</v>
      </c>
      <c r="B26" s="1" t="s">
        <v>179</v>
      </c>
      <c r="C26" s="1" t="s">
        <v>10</v>
      </c>
      <c r="D26" s="5">
        <v>2.0</v>
      </c>
      <c r="E26" s="1" t="s">
        <v>182</v>
      </c>
      <c r="F26" s="3" t="s">
        <v>184</v>
      </c>
      <c r="G26" s="3" t="s">
        <v>50</v>
      </c>
      <c r="H26" s="8" t="str">
        <f t="shared" si="1"/>
        <v>2</v>
      </c>
      <c r="I26" s="8">
        <f t="shared" si="2"/>
        <v>2</v>
      </c>
    </row>
    <row r="27">
      <c r="A27" s="3" t="s">
        <v>186</v>
      </c>
      <c r="B27" s="1" t="s">
        <v>188</v>
      </c>
      <c r="C27" s="1" t="s">
        <v>10</v>
      </c>
      <c r="D27" s="5">
        <v>3.0</v>
      </c>
      <c r="E27" s="1" t="s">
        <v>191</v>
      </c>
      <c r="F27" s="3" t="s">
        <v>15</v>
      </c>
      <c r="G27" s="3" t="s">
        <v>57</v>
      </c>
      <c r="H27" s="8" t="str">
        <f t="shared" si="1"/>
        <v>3</v>
      </c>
      <c r="I27" s="8">
        <f t="shared" si="2"/>
        <v>3</v>
      </c>
    </row>
    <row r="28">
      <c r="A28" s="3" t="s">
        <v>194</v>
      </c>
      <c r="B28" s="1" t="s">
        <v>196</v>
      </c>
      <c r="C28" s="1" t="s">
        <v>39</v>
      </c>
      <c r="D28" s="5">
        <v>2.0</v>
      </c>
      <c r="E28" s="1" t="s">
        <v>198</v>
      </c>
      <c r="F28" s="3" t="s">
        <v>199</v>
      </c>
      <c r="G28" s="3" t="s">
        <v>105</v>
      </c>
      <c r="H28" s="8" t="str">
        <f t="shared" si="1"/>
        <v>2</v>
      </c>
      <c r="I28" s="8">
        <f t="shared" si="2"/>
        <v>2</v>
      </c>
    </row>
    <row r="29">
      <c r="A29" s="3" t="s">
        <v>202</v>
      </c>
      <c r="B29" s="1" t="s">
        <v>204</v>
      </c>
      <c r="C29" s="1" t="s">
        <v>39</v>
      </c>
      <c r="D29" s="5">
        <v>2.0</v>
      </c>
      <c r="E29" s="1" t="s">
        <v>205</v>
      </c>
      <c r="F29" s="3" t="s">
        <v>48</v>
      </c>
      <c r="G29" s="3" t="s">
        <v>16</v>
      </c>
      <c r="H29" s="8" t="str">
        <f t="shared" si="1"/>
        <v>2</v>
      </c>
      <c r="I29" s="8">
        <f t="shared" si="2"/>
        <v>2</v>
      </c>
    </row>
    <row r="30">
      <c r="A30" s="3" t="s">
        <v>209</v>
      </c>
      <c r="B30" s="1" t="s">
        <v>210</v>
      </c>
      <c r="C30" s="1" t="s">
        <v>10</v>
      </c>
      <c r="D30" s="5">
        <v>2.0</v>
      </c>
      <c r="E30" s="1" t="s">
        <v>212</v>
      </c>
      <c r="F30" s="3" t="s">
        <v>56</v>
      </c>
      <c r="G30" s="3" t="s">
        <v>80</v>
      </c>
      <c r="H30" s="8" t="str">
        <f t="shared" si="1"/>
        <v>2</v>
      </c>
      <c r="I30" s="8">
        <f t="shared" si="2"/>
        <v>2</v>
      </c>
    </row>
    <row r="31">
      <c r="A31" s="10" t="s">
        <v>216</v>
      </c>
      <c r="B31" s="11" t="s">
        <v>217</v>
      </c>
      <c r="C31" s="11" t="s">
        <v>10</v>
      </c>
      <c r="D31" s="11">
        <v>3.0</v>
      </c>
      <c r="E31" s="11" t="s">
        <v>222</v>
      </c>
      <c r="F31" s="10" t="s">
        <v>41</v>
      </c>
      <c r="G31" s="10" t="s">
        <v>16</v>
      </c>
      <c r="H31" s="8" t="str">
        <f t="shared" si="1"/>
        <v>3</v>
      </c>
      <c r="I31" s="8">
        <f t="shared" si="2"/>
        <v>3</v>
      </c>
    </row>
    <row r="32">
      <c r="A32" s="12" t="s">
        <v>224</v>
      </c>
      <c r="B32" s="12" t="s">
        <v>225</v>
      </c>
      <c r="C32" s="12" t="s">
        <v>10</v>
      </c>
      <c r="D32" s="13">
        <v>1.0</v>
      </c>
      <c r="E32" s="12" t="s">
        <v>226</v>
      </c>
      <c r="F32" s="10" t="s">
        <v>62</v>
      </c>
      <c r="G32" s="10" t="s">
        <v>64</v>
      </c>
    </row>
    <row r="33">
      <c r="A33" s="12" t="s">
        <v>228</v>
      </c>
      <c r="B33" s="12" t="s">
        <v>230</v>
      </c>
      <c r="C33" s="12" t="s">
        <v>10</v>
      </c>
      <c r="D33" s="13">
        <v>2.0</v>
      </c>
      <c r="E33" s="12" t="s">
        <v>231</v>
      </c>
      <c r="F33" s="10" t="s">
        <v>72</v>
      </c>
      <c r="G33" s="10" t="s">
        <v>73</v>
      </c>
    </row>
    <row r="34">
      <c r="A34" s="12" t="s">
        <v>233</v>
      </c>
      <c r="B34" s="12" t="s">
        <v>234</v>
      </c>
      <c r="C34" s="12" t="s">
        <v>10</v>
      </c>
      <c r="D34" s="13">
        <v>1.0</v>
      </c>
      <c r="E34" s="12" t="s">
        <v>236</v>
      </c>
      <c r="F34" s="10" t="s">
        <v>15</v>
      </c>
      <c r="G34" s="10" t="s">
        <v>80</v>
      </c>
    </row>
    <row r="35">
      <c r="A35" s="12" t="s">
        <v>237</v>
      </c>
      <c r="B35" s="12" t="s">
        <v>238</v>
      </c>
      <c r="C35" s="12" t="s">
        <v>39</v>
      </c>
      <c r="D35" s="13">
        <v>1.0</v>
      </c>
      <c r="E35" s="12" t="s">
        <v>242</v>
      </c>
      <c r="F35" s="10" t="s">
        <v>86</v>
      </c>
      <c r="G35" s="10" t="s">
        <v>50</v>
      </c>
    </row>
    <row r="36">
      <c r="A36" s="12" t="s">
        <v>243</v>
      </c>
      <c r="B36" s="12" t="s">
        <v>244</v>
      </c>
      <c r="C36" s="12" t="s">
        <v>190</v>
      </c>
      <c r="D36" s="13">
        <v>1.0</v>
      </c>
      <c r="E36" s="12" t="s">
        <v>246</v>
      </c>
      <c r="F36" s="10" t="s">
        <v>41</v>
      </c>
      <c r="G36" s="10" t="s">
        <v>64</v>
      </c>
    </row>
    <row r="37">
      <c r="A37" s="12" t="s">
        <v>247</v>
      </c>
      <c r="B37" s="12" t="s">
        <v>248</v>
      </c>
      <c r="C37" s="12" t="s">
        <v>190</v>
      </c>
      <c r="D37" s="13">
        <v>2.0</v>
      </c>
      <c r="E37" s="12" t="s">
        <v>250</v>
      </c>
      <c r="F37" s="10" t="s">
        <v>98</v>
      </c>
      <c r="G37" s="10" t="s">
        <v>33</v>
      </c>
    </row>
    <row r="38">
      <c r="A38" s="12" t="s">
        <v>252</v>
      </c>
      <c r="B38" s="12" t="s">
        <v>253</v>
      </c>
      <c r="C38" s="12" t="s">
        <v>39</v>
      </c>
      <c r="D38" s="13">
        <v>1.0</v>
      </c>
      <c r="E38" s="12" t="s">
        <v>255</v>
      </c>
      <c r="F38" s="10" t="s">
        <v>104</v>
      </c>
      <c r="G38" s="10" t="s">
        <v>105</v>
      </c>
    </row>
    <row r="39">
      <c r="A39" s="12" t="s">
        <v>256</v>
      </c>
      <c r="B39" s="12" t="s">
        <v>257</v>
      </c>
      <c r="C39" s="12" t="s">
        <v>39</v>
      </c>
      <c r="D39" s="13">
        <v>3.0</v>
      </c>
      <c r="E39" s="12" t="s">
        <v>259</v>
      </c>
      <c r="F39" s="10" t="s">
        <v>56</v>
      </c>
      <c r="G39" s="10" t="s">
        <v>57</v>
      </c>
    </row>
    <row r="40">
      <c r="A40" s="12" t="s">
        <v>260</v>
      </c>
      <c r="B40" s="12" t="s">
        <v>261</v>
      </c>
      <c r="C40" s="12" t="s">
        <v>39</v>
      </c>
      <c r="D40" s="13">
        <v>2.0</v>
      </c>
      <c r="E40" s="12" t="s">
        <v>263</v>
      </c>
      <c r="F40" s="10" t="s">
        <v>48</v>
      </c>
      <c r="G40" s="10" t="s">
        <v>73</v>
      </c>
    </row>
    <row r="41">
      <c r="A41" s="12" t="s">
        <v>264</v>
      </c>
      <c r="B41" s="12" t="s">
        <v>265</v>
      </c>
      <c r="C41" s="12" t="s">
        <v>10</v>
      </c>
      <c r="D41" s="13">
        <v>1.0</v>
      </c>
      <c r="E41" s="12" t="s">
        <v>266</v>
      </c>
      <c r="F41" s="10" t="s">
        <v>15</v>
      </c>
      <c r="G41" s="10" t="s">
        <v>16</v>
      </c>
    </row>
    <row r="42">
      <c r="A42" s="12" t="s">
        <v>268</v>
      </c>
      <c r="B42" s="12" t="s">
        <v>270</v>
      </c>
      <c r="C42" s="12" t="s">
        <v>10</v>
      </c>
      <c r="D42" s="13">
        <v>3.0</v>
      </c>
      <c r="E42" s="12" t="s">
        <v>271</v>
      </c>
      <c r="F42" s="10" t="s">
        <v>27</v>
      </c>
      <c r="G42" s="10" t="s">
        <v>80</v>
      </c>
    </row>
    <row r="43">
      <c r="A43" s="12" t="s">
        <v>273</v>
      </c>
      <c r="B43" s="12" t="s">
        <v>274</v>
      </c>
      <c r="C43" s="12" t="s">
        <v>10</v>
      </c>
      <c r="D43" s="13">
        <v>4.0</v>
      </c>
      <c r="E43" s="12" t="s">
        <v>275</v>
      </c>
      <c r="F43" s="10" t="s">
        <v>41</v>
      </c>
      <c r="G43" s="10" t="s">
        <v>50</v>
      </c>
    </row>
    <row r="44">
      <c r="A44" s="12" t="s">
        <v>277</v>
      </c>
      <c r="B44" s="12" t="s">
        <v>279</v>
      </c>
      <c r="C44" s="12" t="s">
        <v>39</v>
      </c>
      <c r="D44" s="13">
        <v>1.0</v>
      </c>
      <c r="E44" s="12" t="s">
        <v>280</v>
      </c>
      <c r="F44" s="10" t="s">
        <v>15</v>
      </c>
      <c r="G44" s="10" t="s">
        <v>16</v>
      </c>
    </row>
    <row r="45">
      <c r="A45" s="12" t="s">
        <v>282</v>
      </c>
      <c r="B45" s="12" t="s">
        <v>283</v>
      </c>
      <c r="C45" s="12" t="s">
        <v>10</v>
      </c>
      <c r="D45" s="13">
        <v>1.0</v>
      </c>
      <c r="E45" s="12" t="s">
        <v>284</v>
      </c>
      <c r="F45" s="10" t="s">
        <v>56</v>
      </c>
      <c r="G45" s="10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0.13"/>
    <col customWidth="1" min="3" max="3" width="16.0"/>
    <col customWidth="1" min="4" max="4" width="21.75"/>
  </cols>
  <sheetData>
    <row r="1">
      <c r="A1" s="2" t="s">
        <v>0</v>
      </c>
      <c r="B1" s="2" t="s">
        <v>8</v>
      </c>
      <c r="C1" s="4" t="s">
        <v>11</v>
      </c>
      <c r="D1" s="4" t="s">
        <v>12</v>
      </c>
    </row>
    <row r="2">
      <c r="A2" s="6" t="s">
        <v>17</v>
      </c>
      <c r="B2" s="7">
        <v>3.0</v>
      </c>
      <c r="C2" s="8">
        <f t="shared" ref="C2:C51" si="1">SUM(B2*63)*2</f>
        <v>378</v>
      </c>
      <c r="K2" s="4">
        <v>1.0</v>
      </c>
      <c r="L2" s="4">
        <v>63.0</v>
      </c>
    </row>
    <row r="3">
      <c r="A3" s="6" t="s">
        <v>25</v>
      </c>
      <c r="B3" s="7">
        <v>2.0</v>
      </c>
      <c r="C3" s="8">
        <f t="shared" si="1"/>
        <v>252</v>
      </c>
    </row>
    <row r="4">
      <c r="A4" s="6" t="s">
        <v>28</v>
      </c>
      <c r="B4" s="7">
        <v>1.0</v>
      </c>
      <c r="C4" s="8">
        <f t="shared" si="1"/>
        <v>126</v>
      </c>
    </row>
    <row r="5">
      <c r="A5" s="6" t="s">
        <v>34</v>
      </c>
      <c r="B5" s="7">
        <v>2.0</v>
      </c>
      <c r="C5" s="8">
        <f t="shared" si="1"/>
        <v>252</v>
      </c>
    </row>
    <row r="6">
      <c r="A6" s="6" t="s">
        <v>36</v>
      </c>
      <c r="B6" s="7">
        <v>2.0</v>
      </c>
      <c r="C6" s="8">
        <f t="shared" si="1"/>
        <v>252</v>
      </c>
    </row>
    <row r="7">
      <c r="A7" s="6" t="s">
        <v>42</v>
      </c>
      <c r="B7" s="7">
        <v>2.0</v>
      </c>
      <c r="C7" s="8">
        <f t="shared" si="1"/>
        <v>252</v>
      </c>
    </row>
    <row r="8">
      <c r="A8" s="6" t="s">
        <v>45</v>
      </c>
      <c r="B8" s="7">
        <v>2.0</v>
      </c>
      <c r="C8" s="8">
        <f t="shared" si="1"/>
        <v>252</v>
      </c>
    </row>
    <row r="9">
      <c r="A9" s="6" t="s">
        <v>51</v>
      </c>
      <c r="B9" s="7">
        <v>1.0</v>
      </c>
      <c r="C9" s="8">
        <f t="shared" si="1"/>
        <v>126</v>
      </c>
    </row>
    <row r="10">
      <c r="A10" s="6" t="s">
        <v>59</v>
      </c>
      <c r="B10" s="7">
        <v>2.0</v>
      </c>
      <c r="C10" s="8">
        <f t="shared" si="1"/>
        <v>252</v>
      </c>
    </row>
    <row r="11">
      <c r="A11" s="6" t="s">
        <v>65</v>
      </c>
      <c r="B11" s="7">
        <v>2.0</v>
      </c>
      <c r="C11" s="8">
        <f t="shared" si="1"/>
        <v>252</v>
      </c>
    </row>
    <row r="12">
      <c r="A12" s="6" t="s">
        <v>69</v>
      </c>
      <c r="B12" s="7">
        <v>1.0</v>
      </c>
      <c r="C12" s="8">
        <f t="shared" si="1"/>
        <v>126</v>
      </c>
    </row>
    <row r="13">
      <c r="A13" s="6" t="s">
        <v>75</v>
      </c>
      <c r="B13" s="7">
        <v>1.0</v>
      </c>
      <c r="C13" s="8">
        <f t="shared" si="1"/>
        <v>126</v>
      </c>
    </row>
    <row r="14">
      <c r="A14" s="6" t="s">
        <v>81</v>
      </c>
      <c r="B14" s="7">
        <v>1.0</v>
      </c>
      <c r="C14" s="8">
        <f t="shared" si="1"/>
        <v>126</v>
      </c>
    </row>
    <row r="15">
      <c r="A15" s="6" t="s">
        <v>87</v>
      </c>
      <c r="B15" s="7">
        <v>2.0</v>
      </c>
      <c r="C15" s="8">
        <f t="shared" si="1"/>
        <v>252</v>
      </c>
    </row>
    <row r="16">
      <c r="A16" s="6" t="s">
        <v>90</v>
      </c>
      <c r="B16" s="7">
        <v>2.0</v>
      </c>
      <c r="C16" s="8">
        <f t="shared" si="1"/>
        <v>252</v>
      </c>
    </row>
    <row r="17">
      <c r="A17" s="6" t="s">
        <v>96</v>
      </c>
      <c r="B17" s="7">
        <v>2.0</v>
      </c>
      <c r="C17" s="8">
        <f t="shared" si="1"/>
        <v>252</v>
      </c>
    </row>
    <row r="18">
      <c r="A18" s="6" t="s">
        <v>102</v>
      </c>
      <c r="B18" s="7">
        <v>2.0</v>
      </c>
      <c r="C18" s="8">
        <f t="shared" si="1"/>
        <v>252</v>
      </c>
    </row>
    <row r="19">
      <c r="A19" s="6" t="s">
        <v>108</v>
      </c>
      <c r="B19" s="7">
        <v>1.0</v>
      </c>
      <c r="C19" s="8">
        <f t="shared" si="1"/>
        <v>126</v>
      </c>
    </row>
    <row r="20">
      <c r="A20" s="6" t="s">
        <v>112</v>
      </c>
      <c r="B20" s="7">
        <v>2.0</v>
      </c>
      <c r="C20" s="8">
        <f t="shared" si="1"/>
        <v>252</v>
      </c>
    </row>
    <row r="21">
      <c r="A21" s="6" t="s">
        <v>118</v>
      </c>
      <c r="B21" s="7">
        <v>2.0</v>
      </c>
      <c r="C21" s="8">
        <f t="shared" si="1"/>
        <v>252</v>
      </c>
    </row>
    <row r="22">
      <c r="A22" s="6" t="s">
        <v>121</v>
      </c>
      <c r="B22" s="7">
        <v>2.0</v>
      </c>
      <c r="C22" s="8">
        <f t="shared" si="1"/>
        <v>252</v>
      </c>
    </row>
    <row r="23">
      <c r="A23" s="6" t="s">
        <v>123</v>
      </c>
      <c r="B23" s="7">
        <v>2.0</v>
      </c>
      <c r="C23" s="8">
        <f t="shared" si="1"/>
        <v>252</v>
      </c>
    </row>
    <row r="24">
      <c r="A24" s="6" t="s">
        <v>126</v>
      </c>
      <c r="B24" s="7">
        <v>1.0</v>
      </c>
      <c r="C24" s="8">
        <f t="shared" si="1"/>
        <v>126</v>
      </c>
    </row>
    <row r="25">
      <c r="A25" s="6" t="s">
        <v>130</v>
      </c>
      <c r="B25" s="7">
        <v>2.0</v>
      </c>
      <c r="C25" s="8">
        <f t="shared" si="1"/>
        <v>252</v>
      </c>
    </row>
    <row r="26">
      <c r="A26" s="6" t="s">
        <v>135</v>
      </c>
      <c r="B26" s="7">
        <v>2.0</v>
      </c>
      <c r="C26" s="8">
        <f t="shared" si="1"/>
        <v>252</v>
      </c>
    </row>
    <row r="27">
      <c r="A27" s="6" t="s">
        <v>138</v>
      </c>
      <c r="B27" s="7">
        <v>2.0</v>
      </c>
      <c r="C27" s="8">
        <f t="shared" si="1"/>
        <v>252</v>
      </c>
    </row>
    <row r="28">
      <c r="A28" s="6" t="s">
        <v>141</v>
      </c>
      <c r="B28" s="7">
        <v>2.0</v>
      </c>
      <c r="C28" s="8">
        <f t="shared" si="1"/>
        <v>252</v>
      </c>
    </row>
    <row r="29">
      <c r="A29" s="6" t="s">
        <v>145</v>
      </c>
      <c r="B29" s="7">
        <v>3.0</v>
      </c>
      <c r="C29" s="8">
        <f t="shared" si="1"/>
        <v>378</v>
      </c>
    </row>
    <row r="30">
      <c r="A30" s="6" t="s">
        <v>150</v>
      </c>
      <c r="B30" s="7">
        <v>3.0</v>
      </c>
      <c r="C30" s="8">
        <f t="shared" si="1"/>
        <v>378</v>
      </c>
    </row>
    <row r="31">
      <c r="A31" s="6" t="s">
        <v>154</v>
      </c>
      <c r="B31" s="7">
        <v>3.0</v>
      </c>
      <c r="C31" s="8">
        <f t="shared" si="1"/>
        <v>378</v>
      </c>
    </row>
    <row r="32">
      <c r="A32" s="4" t="s">
        <v>158</v>
      </c>
      <c r="B32" s="9">
        <v>1.0</v>
      </c>
      <c r="C32" s="8">
        <f t="shared" si="1"/>
        <v>126</v>
      </c>
    </row>
    <row r="33">
      <c r="A33" s="4" t="s">
        <v>162</v>
      </c>
      <c r="B33" s="9">
        <v>1.0</v>
      </c>
      <c r="C33" s="8">
        <f t="shared" si="1"/>
        <v>126</v>
      </c>
    </row>
    <row r="34">
      <c r="A34" s="4" t="s">
        <v>165</v>
      </c>
      <c r="B34" s="9">
        <v>2.0</v>
      </c>
      <c r="C34" s="8">
        <f t="shared" si="1"/>
        <v>252</v>
      </c>
    </row>
    <row r="35">
      <c r="A35" s="4" t="s">
        <v>168</v>
      </c>
      <c r="B35" s="9">
        <v>2.0</v>
      </c>
      <c r="C35" s="8">
        <f t="shared" si="1"/>
        <v>252</v>
      </c>
    </row>
    <row r="36">
      <c r="A36" s="4" t="s">
        <v>171</v>
      </c>
      <c r="B36" s="9">
        <v>2.0</v>
      </c>
      <c r="C36" s="8">
        <f t="shared" si="1"/>
        <v>252</v>
      </c>
    </row>
    <row r="37">
      <c r="A37" s="4" t="s">
        <v>175</v>
      </c>
      <c r="B37" s="9">
        <v>1.0</v>
      </c>
      <c r="C37" s="8">
        <f t="shared" si="1"/>
        <v>126</v>
      </c>
    </row>
    <row r="38">
      <c r="A38" s="4" t="s">
        <v>176</v>
      </c>
      <c r="B38" s="9">
        <v>2.0</v>
      </c>
      <c r="C38" s="8">
        <f t="shared" si="1"/>
        <v>252</v>
      </c>
    </row>
    <row r="39">
      <c r="A39" s="4" t="s">
        <v>178</v>
      </c>
      <c r="B39" s="9">
        <v>2.0</v>
      </c>
      <c r="C39" s="8">
        <f t="shared" si="1"/>
        <v>252</v>
      </c>
    </row>
    <row r="40">
      <c r="A40" s="4" t="s">
        <v>183</v>
      </c>
      <c r="B40" s="9">
        <v>2.0</v>
      </c>
      <c r="C40" s="8">
        <f t="shared" si="1"/>
        <v>252</v>
      </c>
    </row>
    <row r="41">
      <c r="A41" s="4" t="s">
        <v>185</v>
      </c>
      <c r="B41" s="9">
        <v>2.0</v>
      </c>
      <c r="C41" s="8">
        <f t="shared" si="1"/>
        <v>252</v>
      </c>
    </row>
    <row r="42">
      <c r="A42" s="4" t="s">
        <v>189</v>
      </c>
      <c r="B42" s="9">
        <v>2.0</v>
      </c>
      <c r="C42" s="8">
        <f t="shared" si="1"/>
        <v>252</v>
      </c>
    </row>
    <row r="43">
      <c r="A43" s="4" t="s">
        <v>192</v>
      </c>
      <c r="B43" s="9">
        <v>2.0</v>
      </c>
      <c r="C43" s="8">
        <f t="shared" si="1"/>
        <v>252</v>
      </c>
    </row>
    <row r="44">
      <c r="A44" s="4" t="s">
        <v>195</v>
      </c>
      <c r="B44" s="9">
        <v>2.0</v>
      </c>
      <c r="C44" s="8">
        <f t="shared" si="1"/>
        <v>252</v>
      </c>
    </row>
    <row r="45">
      <c r="A45" s="4" t="s">
        <v>200</v>
      </c>
      <c r="B45" s="9">
        <v>2.0</v>
      </c>
      <c r="C45" s="8">
        <f t="shared" si="1"/>
        <v>252</v>
      </c>
    </row>
    <row r="46">
      <c r="A46" s="4" t="s">
        <v>203</v>
      </c>
      <c r="B46" s="9">
        <v>1.0</v>
      </c>
      <c r="C46" s="8">
        <f t="shared" si="1"/>
        <v>126</v>
      </c>
    </row>
    <row r="47">
      <c r="A47" s="4" t="s">
        <v>206</v>
      </c>
      <c r="B47" s="9">
        <v>2.0</v>
      </c>
      <c r="C47" s="8">
        <f t="shared" si="1"/>
        <v>252</v>
      </c>
    </row>
    <row r="48">
      <c r="A48" s="4" t="s">
        <v>208</v>
      </c>
      <c r="B48" s="9">
        <v>2.0</v>
      </c>
      <c r="C48" s="8">
        <f t="shared" si="1"/>
        <v>252</v>
      </c>
    </row>
    <row r="49">
      <c r="A49" s="4" t="s">
        <v>213</v>
      </c>
      <c r="B49" s="9">
        <v>2.0</v>
      </c>
      <c r="C49" s="8">
        <f t="shared" si="1"/>
        <v>252</v>
      </c>
    </row>
    <row r="50">
      <c r="A50" s="4" t="s">
        <v>215</v>
      </c>
      <c r="B50" s="9">
        <v>2.0</v>
      </c>
      <c r="C50" s="8">
        <f t="shared" si="1"/>
        <v>252</v>
      </c>
    </row>
    <row r="51">
      <c r="A51" s="4" t="s">
        <v>218</v>
      </c>
      <c r="B51" s="9">
        <v>2.0</v>
      </c>
      <c r="C51" s="8">
        <f t="shared" si="1"/>
        <v>252</v>
      </c>
    </row>
    <row r="52">
      <c r="B52" s="4" t="s">
        <v>220</v>
      </c>
      <c r="C52" s="8">
        <f>SUM(C2:C51)</f>
        <v>11718</v>
      </c>
      <c r="D52" s="8">
        <f>C52/22</f>
        <v>532.6363636</v>
      </c>
    </row>
    <row r="53">
      <c r="B53" s="8">
        <f>SUM(B2:B51)</f>
        <v>93</v>
      </c>
    </row>
    <row r="54">
      <c r="B54" s="4" t="s">
        <v>235</v>
      </c>
      <c r="C54" s="4">
        <f>93*3</f>
        <v>279</v>
      </c>
    </row>
    <row r="55">
      <c r="B55" s="4" t="s">
        <v>241</v>
      </c>
      <c r="C55" s="8">
        <f>C54/8</f>
        <v>34.875</v>
      </c>
    </row>
  </sheetData>
  <drawing r:id="rId1"/>
</worksheet>
</file>